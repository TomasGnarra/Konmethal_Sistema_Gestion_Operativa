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5"/>
  </sheets>
  <definedNames>
    <definedName localSheetId="0" name="TRABAJO_PROYECTO">PRESUPUESTO!$C$11</definedName>
  </definedNames>
  <calcPr/>
</workbook>
</file>

<file path=xl/sharedStrings.xml><?xml version="1.0" encoding="utf-8"?>
<sst xmlns="http://schemas.openxmlformats.org/spreadsheetml/2006/main" count="108" uniqueCount="59">
  <si>
    <t>Las celdas marcadas con este color se deben</t>
  </si>
  <si>
    <t>completar manualmente. Las demás tienen fórmulas</t>
  </si>
  <si>
    <t>OT N° original:</t>
  </si>
  <si>
    <t>02820-26</t>
  </si>
  <si>
    <t>FECHA:</t>
  </si>
  <si>
    <t>PRECIO EN:</t>
  </si>
  <si>
    <t xml:space="preserve">EMPRESA: </t>
  </si>
  <si>
    <t>FORMA DE PAGO:</t>
  </si>
  <si>
    <t>SOLICITA:</t>
  </si>
  <si>
    <t>PLAZO DE ENTREGA:</t>
  </si>
  <si>
    <t/>
  </si>
  <si>
    <t>días</t>
  </si>
  <si>
    <t>OT N° actual:</t>
  </si>
  <si>
    <t>VALIDEZ DE OFERTA:</t>
  </si>
  <si>
    <t>ITEMS:</t>
  </si>
  <si>
    <t>LUGAR DE ENTREGA:</t>
  </si>
  <si>
    <t>TRABAJO/ PROYECTO:</t>
  </si>
  <si>
    <t>DÓLAR REFERENCIA</t>
  </si>
  <si>
    <t>RESUMEN DEL TRABAJO</t>
  </si>
  <si>
    <t>ITEM</t>
  </si>
  <si>
    <t>DESCRIPCION</t>
  </si>
  <si>
    <t>CANTIDAD</t>
  </si>
  <si>
    <t>COSTO MATERIALES</t>
  </si>
  <si>
    <t>COSTO MANO DE OBRA INTERNA</t>
  </si>
  <si>
    <t>COSTO SERVICIOS TERCEROS</t>
  </si>
  <si>
    <t>COSTO TOTAL MA+MO+ST</t>
  </si>
  <si>
    <t>COSTO UNITARIO</t>
  </si>
  <si>
    <t>PRECIO VENTA UNITARIO</t>
  </si>
  <si>
    <t>PRECIO VENTA TOTAL</t>
  </si>
  <si>
    <t>UTILIDAD NETA [$]</t>
  </si>
  <si>
    <t>TOTALES</t>
  </si>
  <si>
    <t>% DESCUENTO</t>
  </si>
  <si>
    <t>MONTO DESCUENTO [$]</t>
  </si>
  <si>
    <t xml:space="preserve">Ajuste en % </t>
  </si>
  <si>
    <t>% UTILIDAD GLOBAL</t>
  </si>
  <si>
    <t>$ UTILIDAD GLOBAL</t>
  </si>
  <si>
    <t>MATERIALES</t>
  </si>
  <si>
    <t>Moneda</t>
  </si>
  <si>
    <t>Costo Total en [$]</t>
  </si>
  <si>
    <t>PROVEEDOR</t>
  </si>
  <si>
    <t>% de utilidad</t>
  </si>
  <si>
    <t>Venta en [$]</t>
  </si>
  <si>
    <t>ES GLOBAL</t>
  </si>
  <si>
    <t>No</t>
  </si>
  <si>
    <t>Utilidad promedio del rubro materiales</t>
  </si>
  <si>
    <t>SUBTOTAL</t>
  </si>
  <si>
    <t>Utilidad con ajuste</t>
  </si>
  <si>
    <t>HORAS</t>
  </si>
  <si>
    <t>CATEGORIA</t>
  </si>
  <si>
    <t>COSTO MO</t>
  </si>
  <si>
    <t>Costo hora</t>
  </si>
  <si>
    <t>EN REVISIONES HAY QUE CAMBIAR MANUALMENTE EL COSTO POR LA CANTIDAD.</t>
  </si>
  <si>
    <t>TRAE EL COSTO HORA AL VALOR OT ORIGINAL</t>
  </si>
  <si>
    <t>TOTAL HORAS</t>
  </si>
  <si>
    <t>Costo total MO</t>
  </si>
  <si>
    <t>SERVICIOS DE TERCEROS</t>
  </si>
  <si>
    <t>SUBTOTAL [$]</t>
  </si>
  <si>
    <t>ARTICULO/RUBRO</t>
  </si>
  <si>
    <t>Utilidad 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</si>
</sst>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YY"/>
    <numFmt numFmtId="165" formatCode="&quot;$&quot;#,##0.00"/>
    <numFmt numFmtId="166" formatCode="&quot;$&quot;#,##0.0"/>
    <numFmt numFmtId="167" formatCode="_-[$$-2C0A]\ * #,##0.00_-;\-[$$-2C0A]\ * #,##0.00_-;_-[$$-2C0A]\ * &quot;-&quot;??_-;_-@"/>
    <numFmt numFmtId="168" formatCode="&quot;$&quot;\ #,##0.0"/>
    <numFmt numFmtId="169" formatCode="_-[$$-2C0A]\ * #,##0.0_-;\-[$$-2C0A]\ * #,##0.0_-;_-[$$-2C0A]\ * &quot;-&quot;??_-;_-@"/>
    <numFmt numFmtId="170" formatCode="#,##0.0"/>
    <numFmt numFmtId="171" formatCode="0.0"/>
  </numFmts>
  <fonts count="8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i/>
      <sz val="10.0"/>
      <color theme="1"/>
      <name val="Arial"/>
    </font>
    <font/>
    <font>
      <b/>
      <sz val="11.0"/>
      <color rgb="FF006100"/>
      <name val="Arial"/>
    </font>
    <font>
      <sz val="9.0"/>
      <color rgb="FFFF0000"/>
      <name val="Arial"/>
    </font>
    <font>
      <sz val="10.0"/>
      <color rgb="FFFF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99FF99"/>
        <bgColor rgb="FF99FF99"/>
      </patternFill>
    </fill>
    <fill>
      <patternFill patternType="solid">
        <fgColor rgb="FFFFC000"/>
        <bgColor rgb="FFFFC000"/>
      </patternFill>
    </fill>
    <fill>
      <patternFill patternType="solid">
        <fgColor rgb="FFDBE5F1"/>
        <bgColor rgb="FFDBE5F1"/>
      </patternFill>
    </fill>
    <fill>
      <patternFill patternType="solid">
        <fgColor rgb="FFFABF8F"/>
        <bgColor rgb="FFFABF8F"/>
      </patternFill>
    </fill>
    <fill>
      <patternFill patternType="solid">
        <fgColor rgb="FFF2DBDB"/>
        <bgColor rgb="FFF2DBDB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99"/>
        <bgColor rgb="FFCCFF99"/>
      </patternFill>
    </fill>
    <fill>
      <patternFill patternType="solid">
        <fgColor rgb="FFD8D8D8"/>
        <bgColor rgb="FFD8D8D8"/>
      </patternFill>
    </fill>
  </fills>
  <borders count="8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theme="5"/>
      </left>
      <top style="medium">
        <color rgb="FF000000"/>
      </top>
    </border>
    <border>
      <left style="thin">
        <color theme="5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 style="thin">
        <color theme="5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theme="5"/>
      </left>
      <right/>
      <top style="thin">
        <color theme="5"/>
      </top>
      <bottom/>
    </border>
    <border>
      <left style="thin">
        <color rgb="FFFF0000"/>
      </left>
      <right/>
      <top style="thin">
        <color rgb="FFFF0000"/>
      </top>
      <bottom style="thin">
        <color rgb="FFFF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theme="5"/>
      </top>
      <bottom/>
    </border>
    <border>
      <left style="medium">
        <color rgb="FF000000"/>
      </left>
      <right/>
      <top style="thin">
        <color theme="5"/>
      </top>
      <bottom style="medium">
        <color rgb="FF000000"/>
      </bottom>
    </border>
    <border>
      <left style="thin">
        <color theme="5"/>
      </left>
      <right/>
      <top style="thin">
        <color theme="5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theme="6"/>
      </left>
      <top style="medium">
        <color rgb="FF000000"/>
      </top>
      <bottom style="medium">
        <color rgb="FF000000"/>
      </bottom>
    </border>
    <border>
      <left style="thin">
        <color theme="6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theme="6"/>
      </top>
      <bottom/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theme="6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theme="1"/>
      </left>
      <top style="medium">
        <color rgb="FF000000"/>
      </top>
      <bottom style="medium">
        <color rgb="FF000000"/>
      </bottom>
    </border>
    <border>
      <left style="thin">
        <color theme="1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theme="1"/>
      </top>
      <bottom/>
    </border>
    <border>
      <left style="thin">
        <color theme="1"/>
      </left>
      <right style="medium">
        <color rgb="FF000000"/>
      </right>
      <top style="thin">
        <color theme="1"/>
      </top>
      <bottom/>
    </border>
    <border>
      <left style="medium">
        <color rgb="FF000000"/>
      </left>
      <right/>
      <top style="thin">
        <color theme="1"/>
      </top>
      <bottom/>
    </border>
    <border>
      <left style="medium">
        <color rgb="FF000000"/>
      </left>
      <right style="medium">
        <color rgb="FF000000"/>
      </right>
      <top style="thin">
        <color theme="1"/>
      </top>
      <bottom/>
    </border>
    <border>
      <left style="medium">
        <color rgb="FF000000"/>
      </left>
      <right/>
      <top style="medium">
        <color theme="1"/>
      </top>
      <bottom/>
    </border>
    <border>
      <left style="thin">
        <color rgb="FF000000"/>
      </left>
    </border>
    <border>
      <left style="medium">
        <color rgb="FF000000"/>
      </left>
      <right/>
      <top style="thin">
        <color theme="1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thin">
        <color theme="4"/>
      </top>
    </border>
    <border>
      <left style="thin">
        <color theme="4"/>
      </left>
      <top style="thin">
        <color theme="4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theme="4"/>
      </top>
      <bottom/>
    </border>
    <border>
      <left style="thin">
        <color theme="4"/>
      </left>
      <right/>
      <top style="medium">
        <color theme="4"/>
      </top>
      <bottom/>
    </border>
    <border>
      <left style="medium">
        <color rgb="FF000000"/>
      </left>
      <right style="medium">
        <color rgb="FF000000"/>
      </right>
      <top style="medium">
        <color theme="4"/>
      </top>
      <bottom/>
    </border>
    <border>
      <left style="medium">
        <color rgb="FF000000"/>
      </left>
      <right/>
      <top style="thin">
        <color theme="4"/>
      </top>
      <bottom/>
    </border>
    <border>
      <left style="medium">
        <color rgb="FF000000"/>
      </left>
      <right style="medium">
        <color rgb="FF000000"/>
      </right>
      <top style="thin">
        <color theme="4"/>
      </top>
      <bottom/>
    </border>
    <border>
      <left style="thin">
        <color theme="4"/>
      </left>
      <right/>
      <top style="thin">
        <color theme="4"/>
      </top>
      <bottom/>
    </border>
    <border>
      <left style="medium">
        <color rgb="FF000000"/>
      </left>
      <right/>
      <top style="thin">
        <color theme="4"/>
      </top>
      <bottom style="medium">
        <color rgb="FF000000"/>
      </bottom>
    </border>
    <border>
      <left style="thin">
        <color theme="4"/>
      </left>
      <right/>
      <top style="thin">
        <color theme="4"/>
      </top>
      <bottom style="medium">
        <color rgb="FF000000"/>
      </bottom>
    </border>
    <border>
      <left style="medium">
        <color rgb="FF000000"/>
      </left>
      <top style="thin">
        <color theme="4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theme="4"/>
      </top>
      <bottom style="medium">
        <color rgb="FF000000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right"/>
    </xf>
    <xf borderId="1" fillId="2" fontId="1" numFmtId="0" xfId="0" applyAlignment="1" applyBorder="1" applyFont="1">
      <alignment horizontal="left" vertical="center"/>
    </xf>
    <xf borderId="1" fillId="2" fontId="1" numFmtId="164" xfId="0" applyAlignment="1" applyBorder="1" applyFont="1" applyNumberFormat="1">
      <alignment horizontal="left" vertical="center"/>
    </xf>
    <xf borderId="1" fillId="2" fontId="1" numFmtId="0" xfId="0" applyAlignment="1" applyBorder="1" applyFont="1">
      <alignment horizontal="left"/>
    </xf>
    <xf borderId="1" fillId="3" fontId="1" numFmtId="0" xfId="0" applyAlignment="1" applyBorder="1" applyFill="1" applyFont="1">
      <alignment horizontal="left" vertical="center"/>
    </xf>
    <xf borderId="1" fillId="2" fontId="1" numFmtId="49" xfId="0" applyAlignment="1" applyBorder="1" applyFont="1" applyNumberFormat="1">
      <alignment horizontal="left"/>
    </xf>
    <xf borderId="1" fillId="0" fontId="2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left" shrinkToFit="0" vertical="center" wrapText="1"/>
    </xf>
    <xf borderId="3" fillId="0" fontId="4" numFmtId="0" xfId="0" applyBorder="1" applyFont="1"/>
    <xf borderId="1" fillId="0" fontId="5" numFmtId="0" xfId="0" applyAlignment="1" applyBorder="1" applyFont="1">
      <alignment horizontal="right" shrinkToFit="0" vertical="center" wrapText="1"/>
    </xf>
    <xf borderId="1" fillId="2" fontId="1" numFmtId="165" xfId="0" applyAlignment="1" applyBorder="1" applyFont="1" applyNumberFormat="1">
      <alignment horizontal="center" shrinkToFit="0" vertical="center" wrapText="1"/>
    </xf>
    <xf borderId="4" fillId="4" fontId="2" numFmtId="0" xfId="0" applyAlignment="1" applyBorder="1" applyFill="1" applyFont="1">
      <alignment horizontal="center"/>
    </xf>
    <xf borderId="5" fillId="0" fontId="4" numFmtId="0" xfId="0" applyBorder="1" applyFont="1"/>
    <xf borderId="6" fillId="0" fontId="4" numFmtId="0" xfId="0" applyBorder="1" applyFont="1"/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10" fillId="5" fontId="2" numFmtId="0" xfId="0" applyAlignment="1" applyBorder="1" applyFill="1" applyFont="1">
      <alignment horizontal="center" shrinkToFit="0" vertical="center" wrapText="1"/>
    </xf>
    <xf borderId="11" fillId="5" fontId="2" numFmtId="0" xfId="0" applyAlignment="1" applyBorder="1" applyFont="1">
      <alignment horizontal="center" shrinkToFit="0" vertical="center" wrapText="1"/>
    </xf>
    <xf borderId="12" fillId="6" fontId="2" numFmtId="0" xfId="0" applyAlignment="1" applyBorder="1" applyFill="1" applyFont="1">
      <alignment horizontal="center" shrinkToFit="0" vertical="center" wrapText="1"/>
    </xf>
    <xf borderId="13" fillId="6" fontId="2" numFmtId="0" xfId="0" applyAlignment="1" applyBorder="1" applyFont="1">
      <alignment horizontal="center" shrinkToFit="0" vertical="center" wrapText="1"/>
    </xf>
    <xf borderId="14" fillId="2" fontId="2" numFmtId="0" xfId="0" applyAlignment="1" applyBorder="1" applyFont="1">
      <alignment horizontal="center" vertical="center"/>
    </xf>
    <xf borderId="15" fillId="2" fontId="2" numFmtId="0" xfId="0" applyAlignment="1" applyBorder="1" applyFont="1">
      <alignment horizontal="center" vertical="center"/>
    </xf>
    <xf borderId="16" fillId="2" fontId="2" numFmtId="0" xfId="0" applyAlignment="1" applyBorder="1" applyFont="1">
      <alignment horizontal="center" vertical="center"/>
    </xf>
    <xf borderId="1" fillId="7" fontId="2" numFmtId="166" xfId="0" applyAlignment="1" applyBorder="1" applyFill="1" applyFont="1" applyNumberFormat="1">
      <alignment horizontal="center" vertical="center"/>
    </xf>
    <xf borderId="17" fillId="7" fontId="2" numFmtId="166" xfId="0" applyAlignment="1" applyBorder="1" applyFont="1" applyNumberFormat="1">
      <alignment horizontal="center" vertical="center"/>
    </xf>
    <xf borderId="18" fillId="7" fontId="2" numFmtId="166" xfId="0" applyAlignment="1" applyBorder="1" applyFont="1" applyNumberFormat="1">
      <alignment horizontal="center" vertical="center"/>
    </xf>
    <xf borderId="19" fillId="7" fontId="2" numFmtId="166" xfId="0" applyAlignment="1" applyBorder="1" applyFont="1" applyNumberFormat="1">
      <alignment horizontal="center" vertical="center"/>
    </xf>
    <xf borderId="18" fillId="7" fontId="2" numFmtId="165" xfId="0" applyAlignment="1" applyBorder="1" applyFont="1" applyNumberFormat="1">
      <alignment horizontal="center" vertical="center"/>
    </xf>
    <xf borderId="20" fillId="2" fontId="2" numFmtId="0" xfId="0" applyAlignment="1" applyBorder="1" applyFont="1">
      <alignment horizontal="center" vertical="center"/>
    </xf>
    <xf borderId="21" fillId="2" fontId="2" numFmtId="0" xfId="0" applyAlignment="1" applyBorder="1" applyFont="1">
      <alignment horizontal="center" vertical="center"/>
    </xf>
    <xf borderId="22" fillId="2" fontId="2" numFmtId="0" xfId="0" applyAlignment="1" applyBorder="1" applyFont="1">
      <alignment horizontal="center" vertical="center"/>
    </xf>
    <xf borderId="23" fillId="7" fontId="2" numFmtId="166" xfId="0" applyAlignment="1" applyBorder="1" applyFont="1" applyNumberFormat="1">
      <alignment horizontal="center" vertical="center"/>
    </xf>
    <xf borderId="24" fillId="7" fontId="2" numFmtId="166" xfId="0" applyAlignment="1" applyBorder="1" applyFont="1" applyNumberFormat="1">
      <alignment horizontal="center" vertical="center"/>
    </xf>
    <xf borderId="25" fillId="7" fontId="2" numFmtId="166" xfId="0" applyAlignment="1" applyBorder="1" applyFont="1" applyNumberFormat="1">
      <alignment horizontal="center" vertical="center"/>
    </xf>
    <xf borderId="26" fillId="7" fontId="2" numFmtId="166" xfId="0" applyAlignment="1" applyBorder="1" applyFont="1" applyNumberFormat="1">
      <alignment horizontal="center" vertical="center"/>
    </xf>
    <xf borderId="25" fillId="7" fontId="2" numFmtId="165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0" fillId="0" fontId="1" numFmtId="9" xfId="0" applyAlignment="1" applyFont="1" applyNumberFormat="1">
      <alignment horizontal="center"/>
    </xf>
    <xf borderId="7" fillId="0" fontId="2" numFmtId="166" xfId="0" applyAlignment="1" applyBorder="1" applyFont="1" applyNumberFormat="1">
      <alignment horizontal="center"/>
    </xf>
    <xf borderId="27" fillId="0" fontId="2" numFmtId="166" xfId="0" applyAlignment="1" applyBorder="1" applyFont="1" applyNumberFormat="1">
      <alignment horizontal="center"/>
    </xf>
    <xf borderId="28" fillId="0" fontId="1" numFmtId="9" xfId="0" applyAlignment="1" applyBorder="1" applyFont="1" applyNumberFormat="1">
      <alignment horizontal="center" vertical="center"/>
    </xf>
    <xf borderId="29" fillId="0" fontId="2" numFmtId="166" xfId="0" applyAlignment="1" applyBorder="1" applyFont="1" applyNumberFormat="1">
      <alignment horizontal="center" vertical="center"/>
    </xf>
    <xf borderId="30" fillId="8" fontId="2" numFmtId="166" xfId="0" applyAlignment="1" applyBorder="1" applyFill="1" applyFont="1" applyNumberFormat="1">
      <alignment horizontal="center" shrinkToFit="0" vertical="center" wrapText="1"/>
    </xf>
    <xf borderId="28" fillId="9" fontId="2" numFmtId="0" xfId="0" applyAlignment="1" applyBorder="1" applyFill="1" applyFont="1">
      <alignment horizontal="center" shrinkToFit="0" vertical="center" wrapText="1"/>
    </xf>
    <xf borderId="29" fillId="9" fontId="2" numFmtId="0" xfId="0" applyAlignment="1" applyBorder="1" applyFont="1">
      <alignment horizontal="center" shrinkToFit="0" vertical="center" wrapText="1"/>
    </xf>
    <xf borderId="31" fillId="9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32" fillId="8" fontId="2" numFmtId="0" xfId="0" applyAlignment="1" applyBorder="1" applyFont="1">
      <alignment horizontal="center" vertical="center"/>
    </xf>
    <xf borderId="23" fillId="2" fontId="1" numFmtId="9" xfId="0" applyAlignment="1" applyBorder="1" applyFont="1" applyNumberFormat="1">
      <alignment horizontal="center" vertical="center"/>
    </xf>
    <xf borderId="33" fillId="0" fontId="1" numFmtId="166" xfId="0" applyAlignment="1" applyBorder="1" applyFont="1" applyNumberFormat="1">
      <alignment horizontal="center" vertical="center"/>
    </xf>
    <xf borderId="34" fillId="9" fontId="1" numFmtId="9" xfId="0" applyAlignment="1" applyBorder="1" applyFont="1" applyNumberFormat="1">
      <alignment horizontal="center" vertical="center"/>
    </xf>
    <xf borderId="23" fillId="9" fontId="1" numFmtId="9" xfId="0" applyAlignment="1" applyBorder="1" applyFont="1" applyNumberFormat="1">
      <alignment horizontal="center" vertical="center"/>
    </xf>
    <xf borderId="35" fillId="9" fontId="1" numFmtId="167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vertical="center"/>
    </xf>
    <xf borderId="36" fillId="0" fontId="2" numFmtId="0" xfId="0" applyAlignment="1" applyBorder="1" applyFont="1">
      <alignment horizontal="center" vertical="center"/>
    </xf>
    <xf borderId="37" fillId="6" fontId="2" numFmtId="0" xfId="0" applyAlignment="1" applyBorder="1" applyFont="1">
      <alignment horizontal="center" shrinkToFit="0" vertical="center" wrapText="1"/>
    </xf>
    <xf borderId="38" fillId="6" fontId="2" numFmtId="0" xfId="0" applyAlignment="1" applyBorder="1" applyFont="1">
      <alignment horizontal="center" shrinkToFit="0" vertical="center" wrapText="1"/>
    </xf>
    <xf borderId="39" fillId="9" fontId="2" numFmtId="0" xfId="0" applyAlignment="1" applyBorder="1" applyFont="1">
      <alignment horizontal="center" shrinkToFit="0" vertical="center" wrapText="1"/>
    </xf>
    <xf borderId="40" fillId="0" fontId="2" numFmtId="0" xfId="0" applyAlignment="1" applyBorder="1" applyFont="1">
      <alignment horizontal="center" vertical="center"/>
    </xf>
    <xf borderId="4" fillId="0" fontId="2" numFmtId="167" xfId="0" applyAlignment="1" applyBorder="1" applyFont="1" applyNumberFormat="1">
      <alignment horizontal="center" vertical="center"/>
    </xf>
    <xf borderId="1" fillId="9" fontId="2" numFmtId="0" xfId="0" applyAlignment="1" applyBorder="1" applyFont="1">
      <alignment horizontal="center" vertical="center"/>
    </xf>
    <xf borderId="41" fillId="2" fontId="2" numFmtId="0" xfId="0" applyAlignment="1" applyBorder="1" applyFont="1">
      <alignment horizontal="center" vertical="center"/>
    </xf>
    <xf borderId="42" fillId="2" fontId="1" numFmtId="2" xfId="0" applyAlignment="1" applyBorder="1" applyFont="1" applyNumberFormat="1">
      <alignment horizontal="center" vertical="center"/>
    </xf>
    <xf borderId="1" fillId="2" fontId="1" numFmtId="166" xfId="0" applyAlignment="1" applyBorder="1" applyFont="1" applyNumberFormat="1">
      <alignment horizontal="center" shrinkToFit="0" vertical="center" wrapText="1"/>
    </xf>
    <xf borderId="43" fillId="2" fontId="1" numFmtId="166" xfId="0" applyAlignment="1" applyBorder="1" applyFont="1" applyNumberFormat="1">
      <alignment horizontal="center" shrinkToFit="0" vertical="center" wrapText="1"/>
    </xf>
    <xf borderId="44" fillId="10" fontId="1" numFmtId="166" xfId="0" applyAlignment="1" applyBorder="1" applyFill="1" applyFont="1" applyNumberFormat="1">
      <alignment horizontal="center"/>
    </xf>
    <xf borderId="45" fillId="2" fontId="1" numFmtId="0" xfId="0" applyAlignment="1" applyBorder="1" applyFont="1">
      <alignment horizontal="center" vertical="center"/>
    </xf>
    <xf borderId="46" fillId="2" fontId="1" numFmtId="9" xfId="0" applyAlignment="1" applyBorder="1" applyFont="1" applyNumberFormat="1">
      <alignment horizontal="center" vertical="center"/>
    </xf>
    <xf borderId="45" fillId="9" fontId="1" numFmtId="167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44" fillId="0" fontId="1" numFmtId="166" xfId="0" applyAlignment="1" applyBorder="1" applyFont="1" applyNumberFormat="1">
      <alignment horizontal="center"/>
    </xf>
    <xf borderId="0" fillId="0" fontId="1" numFmtId="168" xfId="0" applyFont="1" applyNumberFormat="1"/>
    <xf borderId="47" fillId="0" fontId="1" numFmtId="166" xfId="0" applyAlignment="1" applyBorder="1" applyFont="1" applyNumberFormat="1">
      <alignment horizontal="center"/>
    </xf>
    <xf borderId="48" fillId="2" fontId="1" numFmtId="0" xfId="0" applyAlignment="1" applyBorder="1" applyFont="1">
      <alignment horizontal="center" vertical="center"/>
    </xf>
    <xf borderId="48" fillId="2" fontId="1" numFmtId="9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66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right" vertical="center"/>
    </xf>
    <xf borderId="49" fillId="0" fontId="2" numFmtId="9" xfId="0" applyAlignment="1" applyBorder="1" applyFont="1" applyNumberFormat="1">
      <alignment horizontal="center"/>
    </xf>
    <xf borderId="50" fillId="0" fontId="2" numFmtId="169" xfId="0" applyBorder="1" applyFont="1" applyNumberFormat="1"/>
    <xf borderId="0" fillId="0" fontId="1" numFmtId="170" xfId="0" applyFont="1" applyNumberFormat="1"/>
    <xf borderId="0" fillId="0" fontId="1" numFmtId="167" xfId="0" applyFont="1" applyNumberFormat="1"/>
    <xf borderId="4" fillId="0" fontId="2" numFmtId="0" xfId="0" applyAlignment="1" applyBorder="1" applyFont="1">
      <alignment horizontal="right" vertical="center"/>
    </xf>
    <xf borderId="6" fillId="0" fontId="2" numFmtId="166" xfId="0" applyAlignment="1" applyBorder="1" applyFont="1" applyNumberFormat="1">
      <alignment horizontal="center"/>
    </xf>
    <xf borderId="0" fillId="0" fontId="2" numFmtId="0" xfId="0" applyAlignment="1" applyFont="1">
      <alignment horizontal="center" vertical="center"/>
    </xf>
    <xf borderId="40" fillId="0" fontId="2" numFmtId="9" xfId="0" applyAlignment="1" applyBorder="1" applyFont="1" applyNumberFormat="1">
      <alignment horizontal="center"/>
    </xf>
    <xf borderId="51" fillId="0" fontId="2" numFmtId="0" xfId="0" applyAlignment="1" applyBorder="1" applyFont="1">
      <alignment horizontal="center" vertical="center"/>
    </xf>
    <xf borderId="51" fillId="0" fontId="2" numFmtId="0" xfId="0" applyAlignment="1" applyBorder="1" applyFont="1">
      <alignment horizontal="center" shrinkToFit="0" vertical="center" wrapText="1"/>
    </xf>
    <xf borderId="52" fillId="0" fontId="2" numFmtId="0" xfId="0" applyAlignment="1" applyBorder="1" applyFont="1">
      <alignment horizontal="center" vertical="center"/>
    </xf>
    <xf borderId="53" fillId="9" fontId="2" numFmtId="0" xfId="0" applyAlignment="1" applyBorder="1" applyFont="1">
      <alignment horizontal="center" vertical="center"/>
    </xf>
    <xf borderId="54" fillId="0" fontId="2" numFmtId="0" xfId="0" applyAlignment="1" applyBorder="1" applyFont="1">
      <alignment horizontal="center" vertical="center"/>
    </xf>
    <xf borderId="55" fillId="0" fontId="2" numFmtId="167" xfId="0" applyAlignment="1" applyBorder="1" applyFont="1" applyNumberFormat="1">
      <alignment horizontal="center" vertical="center"/>
    </xf>
    <xf borderId="56" fillId="2" fontId="1" numFmtId="0" xfId="0" applyAlignment="1" applyBorder="1" applyFont="1">
      <alignment horizontal="center" vertical="center"/>
    </xf>
    <xf borderId="57" fillId="2" fontId="1" numFmtId="0" xfId="0" applyAlignment="1" applyBorder="1" applyFont="1">
      <alignment horizontal="center" vertical="center"/>
    </xf>
    <xf borderId="58" fillId="2" fontId="1" numFmtId="0" xfId="0" applyAlignment="1" applyBorder="1" applyFont="1">
      <alignment horizontal="center" vertical="center"/>
    </xf>
    <xf borderId="59" fillId="11" fontId="1" numFmtId="166" xfId="0" applyAlignment="1" applyBorder="1" applyFill="1" applyFont="1" applyNumberFormat="1">
      <alignment horizontal="center"/>
    </xf>
    <xf borderId="60" fillId="2" fontId="1" numFmtId="9" xfId="0" applyAlignment="1" applyBorder="1" applyFont="1" applyNumberFormat="1">
      <alignment horizontal="center" vertical="center"/>
    </xf>
    <xf borderId="61" fillId="9" fontId="1" numFmtId="167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/>
    </xf>
    <xf borderId="1" fillId="0" fontId="1" numFmtId="167" xfId="0" applyBorder="1" applyFont="1" applyNumberFormat="1"/>
    <xf borderId="62" fillId="0" fontId="6" numFmtId="0" xfId="0" applyAlignment="1" applyBorder="1" applyFont="1">
      <alignment horizontal="center" shrinkToFit="0" wrapText="1"/>
    </xf>
    <xf borderId="59" fillId="9" fontId="1" numFmtId="167" xfId="0" applyAlignment="1" applyBorder="1" applyFont="1" applyNumberFormat="1">
      <alignment horizontal="center" vertical="center"/>
    </xf>
    <xf borderId="62" fillId="0" fontId="4" numFmtId="0" xfId="0" applyBorder="1" applyFont="1"/>
    <xf borderId="62" fillId="0" fontId="7" numFmtId="0" xfId="0" applyAlignment="1" applyBorder="1" applyFont="1">
      <alignment horizontal="center" shrinkToFit="0" wrapText="1"/>
    </xf>
    <xf borderId="63" fillId="9" fontId="1" numFmtId="167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horizontal="center"/>
    </xf>
    <xf borderId="4" fillId="0" fontId="2" numFmtId="0" xfId="0" applyBorder="1" applyFont="1"/>
    <xf borderId="64" fillId="0" fontId="2" numFmtId="9" xfId="0" applyAlignment="1" applyBorder="1" applyFont="1" applyNumberFormat="1">
      <alignment horizontal="center"/>
    </xf>
    <xf borderId="65" fillId="0" fontId="2" numFmtId="167" xfId="0" applyBorder="1" applyFont="1" applyNumberFormat="1"/>
    <xf borderId="66" fillId="0" fontId="1" numFmtId="0" xfId="0" applyBorder="1" applyFont="1"/>
    <xf borderId="27" fillId="0" fontId="1" numFmtId="0" xfId="0" applyBorder="1" applyFont="1"/>
    <xf borderId="67" fillId="0" fontId="2" numFmtId="0" xfId="0" applyAlignment="1" applyBorder="1" applyFont="1">
      <alignment horizontal="center" vertical="center"/>
    </xf>
    <xf borderId="68" fillId="0" fontId="2" numFmtId="0" xfId="0" applyAlignment="1" applyBorder="1" applyFont="1">
      <alignment horizontal="center" vertical="center"/>
    </xf>
    <xf borderId="68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0" fillId="9" fontId="2" numFmtId="0" xfId="0" applyAlignment="1" applyBorder="1" applyFont="1">
      <alignment horizontal="center" vertical="center"/>
    </xf>
    <xf borderId="69" fillId="0" fontId="2" numFmtId="0" xfId="0" applyAlignment="1" applyBorder="1" applyFont="1">
      <alignment horizontal="center" vertical="center"/>
    </xf>
    <xf borderId="70" fillId="2" fontId="1" numFmtId="0" xfId="0" applyAlignment="1" applyBorder="1" applyFont="1">
      <alignment horizontal="center" vertical="center"/>
    </xf>
    <xf borderId="71" fillId="2" fontId="1" numFmtId="0" xfId="0" applyAlignment="1" applyBorder="1" applyFont="1">
      <alignment horizontal="center" vertical="center"/>
    </xf>
    <xf borderId="71" fillId="2" fontId="1" numFmtId="171" xfId="0" applyAlignment="1" applyBorder="1" applyFont="1" applyNumberFormat="1">
      <alignment horizontal="center" vertical="center"/>
    </xf>
    <xf borderId="71" fillId="2" fontId="1" numFmtId="166" xfId="0" applyAlignment="1" applyBorder="1" applyFont="1" applyNumberFormat="1">
      <alignment horizontal="center" shrinkToFit="0" vertical="center" wrapText="1"/>
    </xf>
    <xf borderId="70" fillId="5" fontId="1" numFmtId="166" xfId="0" applyAlignment="1" applyBorder="1" applyFont="1" applyNumberFormat="1">
      <alignment horizontal="center"/>
    </xf>
    <xf borderId="72" fillId="2" fontId="1" numFmtId="9" xfId="0" applyAlignment="1" applyBorder="1" applyFont="1" applyNumberFormat="1">
      <alignment horizontal="center" vertical="center"/>
    </xf>
    <xf borderId="70" fillId="9" fontId="1" numFmtId="167" xfId="0" applyAlignment="1" applyBorder="1" applyFont="1" applyNumberFormat="1">
      <alignment horizontal="center" vertical="center"/>
    </xf>
    <xf borderId="73" fillId="2" fontId="1" numFmtId="0" xfId="0" applyAlignment="1" applyBorder="1" applyFont="1">
      <alignment horizontal="center" vertical="center"/>
    </xf>
    <xf borderId="67" fillId="0" fontId="1" numFmtId="166" xfId="0" applyAlignment="1" applyBorder="1" applyFont="1" applyNumberFormat="1">
      <alignment horizontal="center"/>
    </xf>
    <xf borderId="73" fillId="9" fontId="1" numFmtId="167" xfId="0" applyAlignment="1" applyBorder="1" applyFont="1" applyNumberFormat="1">
      <alignment horizontal="center" vertical="center"/>
    </xf>
    <xf borderId="73" fillId="5" fontId="1" numFmtId="166" xfId="0" applyAlignment="1" applyBorder="1" applyFont="1" applyNumberFormat="1">
      <alignment horizontal="center"/>
    </xf>
    <xf borderId="74" fillId="2" fontId="1" numFmtId="9" xfId="0" applyAlignment="1" applyBorder="1" applyFont="1" applyNumberFormat="1">
      <alignment horizontal="center" vertical="center"/>
    </xf>
    <xf borderId="75" fillId="2" fontId="1" numFmtId="0" xfId="0" applyAlignment="1" applyBorder="1" applyFont="1">
      <alignment horizontal="center" vertical="center"/>
    </xf>
    <xf borderId="76" fillId="2" fontId="1" numFmtId="0" xfId="0" applyAlignment="1" applyBorder="1" applyFont="1">
      <alignment horizontal="center" vertical="center"/>
    </xf>
    <xf borderId="77" fillId="2" fontId="1" numFmtId="0" xfId="0" applyAlignment="1" applyBorder="1" applyFont="1">
      <alignment horizontal="center" vertical="center"/>
    </xf>
    <xf borderId="78" fillId="0" fontId="1" numFmtId="166" xfId="0" applyAlignment="1" applyBorder="1" applyFont="1" applyNumberFormat="1">
      <alignment horizontal="center"/>
    </xf>
    <xf borderId="79" fillId="2" fontId="1" numFmtId="9" xfId="0" applyAlignment="1" applyBorder="1" applyFont="1" applyNumberFormat="1">
      <alignment horizontal="center" vertical="center"/>
    </xf>
    <xf borderId="76" fillId="9" fontId="1" numFmtId="167" xfId="0" applyAlignment="1" applyBorder="1" applyFont="1" applyNumberFormat="1">
      <alignment horizontal="center" vertical="center"/>
    </xf>
    <xf borderId="40" fillId="0" fontId="2" numFmtId="0" xfId="0" applyAlignment="1" applyBorder="1" applyFont="1">
      <alignment horizontal="right" vertical="center"/>
    </xf>
    <xf borderId="40" fillId="0" fontId="2" numFmtId="0" xfId="0" applyBorder="1" applyFont="1"/>
    <xf borderId="65" fillId="0" fontId="1" numFmtId="167" xfId="0" applyBorder="1" applyFont="1" applyNumberFormat="1"/>
  </cellXfs>
  <cellStyles count="1">
    <cellStyle xfId="0" name="Normal" builtinId="0"/>
  </cellStyles>
  <dxfs count="5">
    <dxf>
      <font/>
      <numFmt numFmtId="0" formatCode="[$USD]\ #,##0.00"/>
      <fill>
        <patternFill patternType="none"/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D99594"/>
          <bgColor rgb="FFD9959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1</xdr:row>
      <xdr:rowOff>85725</xdr:rowOff>
    </xdr:from>
    <xdr:ext cx="1514475" cy="342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561975</xdr:colOff>
      <xdr:row>1</xdr:row>
      <xdr:rowOff>85725</xdr:rowOff>
    </xdr:from>
    <xdr:ext cx="2524125" cy="581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1038225</xdr:colOff>
      <xdr:row>1</xdr:row>
      <xdr:rowOff>85725</xdr:rowOff>
    </xdr:from>
    <xdr:ext cx="1638300" cy="3905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5</xdr:row>
      <xdr:rowOff>0</xdr:rowOff>
    </xdr:from>
    <xdr:ext cx="4391025" cy="485775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2.13"/>
    <col customWidth="1" min="3" max="3" width="45.5"/>
    <col customWidth="1" min="4" max="4" width="12.88"/>
    <col customWidth="1" min="5" max="6" width="17.13"/>
    <col customWidth="1" min="7" max="7" width="20.13"/>
    <col customWidth="1" min="8" max="8" width="17.13"/>
    <col customWidth="1" min="9" max="9" width="14.13"/>
    <col customWidth="1" min="10" max="10" width="15.5"/>
    <col customWidth="1" min="11" max="11" width="15.13"/>
    <col customWidth="1" min="12" max="12" width="14.88"/>
    <col customWidth="1" min="13" max="13" width="11.88"/>
    <col customWidth="1" min="14" max="14" width="12.88"/>
    <col customWidth="1" min="15" max="15" width="13.88"/>
    <col customWidth="1" min="16" max="26" width="11.5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2" t="s">
        <v>1</v>
      </c>
      <c r="D3" s="1"/>
      <c r="E3" s="3" t="s">
        <v>2</v>
      </c>
      <c r="F3" s="4" t="s">
        <v>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3" t="s">
        <v>4</v>
      </c>
      <c r="F6" s="5"/>
      <c r="G6" s="3" t="s">
        <v>5</v>
      </c>
      <c r="H6" s="6"/>
      <c r="I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3" t="s">
        <v>6</v>
      </c>
      <c r="F7" s="7" t="str">
        <f>IF(ISBLANK(F9),"",IFERROR(VLOOKUP($F$9,[1]!Tabla15[#Data],2,0),"OT No encontrada"))</f>
        <v>#ERROR!</v>
      </c>
      <c r="G7" s="3" t="s">
        <v>7</v>
      </c>
      <c r="H7" s="6"/>
      <c r="I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3" t="s">
        <v>8</v>
      </c>
      <c r="F8" s="5"/>
      <c r="G8" s="3" t="s">
        <v>9</v>
      </c>
      <c r="H8" s="8" t="s">
        <v>10</v>
      </c>
      <c r="I8" s="1" t="s">
        <v>11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/>
      <c r="E9" s="3" t="s">
        <v>12</v>
      </c>
      <c r="F9" s="4"/>
      <c r="G9" s="3" t="s">
        <v>13</v>
      </c>
      <c r="H9" s="6"/>
      <c r="I9" s="1" t="s">
        <v>11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3" t="s">
        <v>14</v>
      </c>
      <c r="F10" s="7">
        <f>COUNTA(B15:B24)</f>
        <v>0</v>
      </c>
      <c r="G10" s="3" t="s">
        <v>15</v>
      </c>
      <c r="H10" s="6"/>
      <c r="I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9" t="s">
        <v>16</v>
      </c>
      <c r="C11" s="10" t="str">
        <f>IF(ISBLANK(F9),"",IFERROR(VLOOKUP($F$9,[1]!Tabla15[#Data],3,0),"OT No encontrada en el archivo de seguimiento. Verifique por favor !!"))</f>
        <v>#ERROR!</v>
      </c>
      <c r="D11" s="11"/>
      <c r="E11" s="12" t="s">
        <v>17</v>
      </c>
      <c r="F11" s="13"/>
      <c r="G11" s="12"/>
      <c r="H11" s="13">
        <v>6418.6</v>
      </c>
      <c r="I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4" t="s">
        <v>18</v>
      </c>
      <c r="C13" s="15"/>
      <c r="D13" s="15"/>
      <c r="E13" s="15"/>
      <c r="F13" s="15"/>
      <c r="G13" s="15"/>
      <c r="H13" s="15"/>
      <c r="I13" s="15"/>
      <c r="J13" s="15"/>
      <c r="K13" s="15"/>
      <c r="L13" s="1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7" t="s">
        <v>19</v>
      </c>
      <c r="C14" s="18" t="s">
        <v>20</v>
      </c>
      <c r="D14" s="19" t="s">
        <v>21</v>
      </c>
      <c r="E14" s="20" t="s">
        <v>22</v>
      </c>
      <c r="F14" s="21" t="s">
        <v>23</v>
      </c>
      <c r="G14" s="21" t="s">
        <v>24</v>
      </c>
      <c r="H14" s="22" t="s">
        <v>25</v>
      </c>
      <c r="I14" s="23" t="s">
        <v>26</v>
      </c>
      <c r="J14" s="22" t="s">
        <v>27</v>
      </c>
      <c r="K14" s="23" t="s">
        <v>28</v>
      </c>
      <c r="L14" s="22" t="s">
        <v>29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24"/>
      <c r="C15" s="25"/>
      <c r="D15" s="26"/>
      <c r="E15" s="27">
        <f t="shared" ref="E15:E24" si="1">IFERROR(IF($H$6="USD + IVA",(SUMIFS($G$31:$G$40,$B$31:$B$40,B15,$K$31:$K$40,"No")/$F$11*D15)+(SUMIFS($G$31:$G$40,$B$31:$B$40,B15,$K$31:$K$40,"Si")/$F$11),(SUMIFS($G$31:$G$40,$B$31:$B$40,B15,$K$31:$K$40,"No")*D15)+(SUMIFS($G$31:$G$40,$B$31:$B$40,B15,$K$31:$K$40,"Si"))),0)</f>
        <v>0</v>
      </c>
      <c r="F15" s="27">
        <f t="shared" ref="F15:F24" si="2">IFERROR(IF($H$6="USD + IVA",(SUMIFS($F$46:$F$55,$B$46:$B$55,B15,$I$46:$I$55,"No")/$F$11*D15)+(SUMIFS($F$46:$F$55,$B$46:$B$55,B15,$I$46:$I$55,"Si")/$F$11),(SUMIFS($F$46:$F$55,$B$46:$B$55,B15,$I$46:$I$55,"No")*D15)+(SUMIFS($F$46:$F$55,$B$46:$B$55,B15,$I$46:$I$55,"Si"))),0)</f>
        <v>0</v>
      </c>
      <c r="G15" s="28">
        <f t="shared" ref="G15:G24" si="3">IFERROR(IF($H$6="USD + IVA",(SUMIFS($G$61:$G$70,$B$61:$B$70,B15,$K$61:$K$70,"No")/$F$11*D15)+(SUMIFS($G$61:$G$70,$B$61:$B$70,B15,$K$61:$K$70,"Si")/$F$11),(SUMIFS($G$61:$G$70,$B$61:$B$70,B15,$K$61:$K$70,"No")*D15)+(SUMIFS($G$61:$G$70,$B$61:$B$70,B15,$K$61:$K$70,"Si"))),0)</f>
        <v>0</v>
      </c>
      <c r="H15" s="29">
        <f t="shared" ref="H15:H24" si="4">SUM(E15:G15)</f>
        <v>0</v>
      </c>
      <c r="I15" s="30">
        <f t="shared" ref="I15:I24" si="5">IF(D15&gt;0,H15/D15,0)</f>
        <v>0</v>
      </c>
      <c r="J15" s="29">
        <f t="shared" ref="J15:J24" si="6">IFERROR(IF($H$6="USD + IVA",(SUMIFS($J$31:$J$40,$B$31:$B$40,B15,$K$31:$K$40,"No")/$F$11)+(SUMIFS($J$31:$J$40,$B$31:$B$40,B15,$K$31:$K$40,"Si")/$F$11)/D15,(SUMIFS($J$31:$J$40,$B$31:$B$40,B15,$K$31:$K$40,"No"))+(SUMIFS($J$31:$J$40,$B$31:$B$40,B15,$K$31:$K$40,"Si"))/D15),0)+IFERROR(IF($H$6="USD + IVA",(SUMIFS($H$46:$H$55,$B$46:$B$55,B15,$I$46:$I$55,"No")/$F$11)+(SUMIFS($H$46:$H$55,$B$46:$B$55,B15,$I$46:$I$55,"Si")/$F$11)/D15,(SUMIFS($H$46:$H$55,$B$46:$B$55,B15,$I$46:$I$55,"No"))+(SUMIFS($H$46:$H$55,$B$46:$B$55,B15,$I$46:$I$55,"Si"))/D15),0)+IFERROR(IF($H$6="USD + IVA",(SUMIFS($J$61:$J$70,$B$61:$B$70,B15,$K$61:$K$70,"No")/$F$11)+(SUMIFS($J$61:$J$70,$B$61:$B$70,B15,$K$61:$K$70,"Si")/$F$11)/D15,(SUMIFS($J$61:$J$70,$B$61:$B$70,B15,$K$61:$K$70,"No"))+(SUMIFS($J$61:$J$70,$B$61:$B$70,B15,$K$61:$K$70,"Si"))/D15),0)</f>
        <v>0</v>
      </c>
      <c r="K15" s="30">
        <f t="shared" ref="K15:K24" si="7">J15*D15</f>
        <v>0</v>
      </c>
      <c r="L15" s="31">
        <f t="shared" ref="L15:L24" si="8">K15-H15</f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32"/>
      <c r="C16" s="25"/>
      <c r="D16" s="26"/>
      <c r="E16" s="27">
        <f t="shared" si="1"/>
        <v>0</v>
      </c>
      <c r="F16" s="27">
        <f t="shared" si="2"/>
        <v>0</v>
      </c>
      <c r="G16" s="28">
        <f t="shared" si="3"/>
        <v>0</v>
      </c>
      <c r="H16" s="29">
        <f t="shared" si="4"/>
        <v>0</v>
      </c>
      <c r="I16" s="30">
        <f t="shared" si="5"/>
        <v>0</v>
      </c>
      <c r="J16" s="29">
        <f t="shared" si="6"/>
        <v>0</v>
      </c>
      <c r="K16" s="30">
        <f t="shared" si="7"/>
        <v>0</v>
      </c>
      <c r="L16" s="31">
        <f t="shared" si="8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32"/>
      <c r="C17" s="25"/>
      <c r="D17" s="26"/>
      <c r="E17" s="27">
        <f t="shared" si="1"/>
        <v>0</v>
      </c>
      <c r="F17" s="27">
        <f t="shared" si="2"/>
        <v>0</v>
      </c>
      <c r="G17" s="28">
        <f t="shared" si="3"/>
        <v>0</v>
      </c>
      <c r="H17" s="29">
        <f t="shared" si="4"/>
        <v>0</v>
      </c>
      <c r="I17" s="30">
        <f t="shared" si="5"/>
        <v>0</v>
      </c>
      <c r="J17" s="29">
        <f t="shared" si="6"/>
        <v>0</v>
      </c>
      <c r="K17" s="30">
        <f t="shared" si="7"/>
        <v>0</v>
      </c>
      <c r="L17" s="31">
        <f t="shared" si="8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32"/>
      <c r="C18" s="25"/>
      <c r="D18" s="25"/>
      <c r="E18" s="27">
        <f t="shared" si="1"/>
        <v>0</v>
      </c>
      <c r="F18" s="27">
        <f t="shared" si="2"/>
        <v>0</v>
      </c>
      <c r="G18" s="28">
        <f t="shared" si="3"/>
        <v>0</v>
      </c>
      <c r="H18" s="29">
        <f t="shared" si="4"/>
        <v>0</v>
      </c>
      <c r="I18" s="30">
        <f t="shared" si="5"/>
        <v>0</v>
      </c>
      <c r="J18" s="29">
        <f t="shared" si="6"/>
        <v>0</v>
      </c>
      <c r="K18" s="30">
        <f t="shared" si="7"/>
        <v>0</v>
      </c>
      <c r="L18" s="31">
        <f t="shared" si="8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32"/>
      <c r="C19" s="25"/>
      <c r="D19" s="25"/>
      <c r="E19" s="27">
        <f t="shared" si="1"/>
        <v>0</v>
      </c>
      <c r="F19" s="27">
        <f t="shared" si="2"/>
        <v>0</v>
      </c>
      <c r="G19" s="28">
        <f t="shared" si="3"/>
        <v>0</v>
      </c>
      <c r="H19" s="29">
        <f t="shared" si="4"/>
        <v>0</v>
      </c>
      <c r="I19" s="30">
        <f t="shared" si="5"/>
        <v>0</v>
      </c>
      <c r="J19" s="29">
        <f t="shared" si="6"/>
        <v>0</v>
      </c>
      <c r="K19" s="30">
        <f t="shared" si="7"/>
        <v>0</v>
      </c>
      <c r="L19" s="31">
        <f t="shared" si="8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32"/>
      <c r="C20" s="25"/>
      <c r="D20" s="25"/>
      <c r="E20" s="27">
        <f t="shared" si="1"/>
        <v>0</v>
      </c>
      <c r="F20" s="27">
        <f t="shared" si="2"/>
        <v>0</v>
      </c>
      <c r="G20" s="28">
        <f t="shared" si="3"/>
        <v>0</v>
      </c>
      <c r="H20" s="29">
        <f t="shared" si="4"/>
        <v>0</v>
      </c>
      <c r="I20" s="30">
        <f t="shared" si="5"/>
        <v>0</v>
      </c>
      <c r="J20" s="29">
        <f t="shared" si="6"/>
        <v>0</v>
      </c>
      <c r="K20" s="30">
        <f t="shared" si="7"/>
        <v>0</v>
      </c>
      <c r="L20" s="31">
        <f t="shared" si="8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32"/>
      <c r="C21" s="25"/>
      <c r="D21" s="25"/>
      <c r="E21" s="27">
        <f t="shared" si="1"/>
        <v>0</v>
      </c>
      <c r="F21" s="27">
        <f t="shared" si="2"/>
        <v>0</v>
      </c>
      <c r="G21" s="28">
        <f t="shared" si="3"/>
        <v>0</v>
      </c>
      <c r="H21" s="29">
        <f t="shared" si="4"/>
        <v>0</v>
      </c>
      <c r="I21" s="30">
        <f t="shared" si="5"/>
        <v>0</v>
      </c>
      <c r="J21" s="29">
        <f t="shared" si="6"/>
        <v>0</v>
      </c>
      <c r="K21" s="30">
        <f t="shared" si="7"/>
        <v>0</v>
      </c>
      <c r="L21" s="31">
        <f t="shared" si="8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32"/>
      <c r="C22" s="25"/>
      <c r="D22" s="25"/>
      <c r="E22" s="27">
        <f t="shared" si="1"/>
        <v>0</v>
      </c>
      <c r="F22" s="27">
        <f t="shared" si="2"/>
        <v>0</v>
      </c>
      <c r="G22" s="28">
        <f t="shared" si="3"/>
        <v>0</v>
      </c>
      <c r="H22" s="29">
        <f t="shared" si="4"/>
        <v>0</v>
      </c>
      <c r="I22" s="30">
        <f t="shared" si="5"/>
        <v>0</v>
      </c>
      <c r="J22" s="29">
        <f t="shared" si="6"/>
        <v>0</v>
      </c>
      <c r="K22" s="30">
        <f t="shared" si="7"/>
        <v>0</v>
      </c>
      <c r="L22" s="31">
        <f t="shared" si="8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32"/>
      <c r="C23" s="25"/>
      <c r="D23" s="25"/>
      <c r="E23" s="27">
        <f t="shared" si="1"/>
        <v>0</v>
      </c>
      <c r="F23" s="27">
        <f t="shared" si="2"/>
        <v>0</v>
      </c>
      <c r="G23" s="28">
        <f t="shared" si="3"/>
        <v>0</v>
      </c>
      <c r="H23" s="29">
        <f t="shared" si="4"/>
        <v>0</v>
      </c>
      <c r="I23" s="30">
        <f t="shared" si="5"/>
        <v>0</v>
      </c>
      <c r="J23" s="29">
        <f t="shared" si="6"/>
        <v>0</v>
      </c>
      <c r="K23" s="30">
        <f t="shared" si="7"/>
        <v>0</v>
      </c>
      <c r="L23" s="31">
        <f t="shared" si="8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33"/>
      <c r="C24" s="34"/>
      <c r="D24" s="34"/>
      <c r="E24" s="35">
        <f t="shared" si="1"/>
        <v>0</v>
      </c>
      <c r="F24" s="35">
        <f t="shared" si="2"/>
        <v>0</v>
      </c>
      <c r="G24" s="36">
        <f t="shared" si="3"/>
        <v>0</v>
      </c>
      <c r="H24" s="37">
        <f t="shared" si="4"/>
        <v>0</v>
      </c>
      <c r="I24" s="38">
        <f t="shared" si="5"/>
        <v>0</v>
      </c>
      <c r="J24" s="37">
        <f t="shared" si="6"/>
        <v>0</v>
      </c>
      <c r="K24" s="38">
        <f t="shared" si="7"/>
        <v>0</v>
      </c>
      <c r="L24" s="39">
        <f t="shared" si="8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40"/>
      <c r="C25" s="40"/>
      <c r="D25" s="40"/>
      <c r="E25" s="41"/>
      <c r="F25" s="41"/>
      <c r="G25" s="42"/>
      <c r="H25" s="42"/>
      <c r="I25" s="42"/>
      <c r="J25" s="42"/>
      <c r="K25" s="42"/>
      <c r="L25" s="4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40"/>
      <c r="C26" s="40"/>
      <c r="D26" s="40"/>
      <c r="E26" s="41"/>
      <c r="F26" s="41"/>
      <c r="G26" s="41"/>
      <c r="H26" s="41"/>
      <c r="I26" s="43"/>
      <c r="J26" s="44" t="s">
        <v>30</v>
      </c>
      <c r="K26" s="45">
        <f t="shared" ref="K26:L26" si="9">SUM(K15:K24)</f>
        <v>0</v>
      </c>
      <c r="L26" s="45">
        <f t="shared" si="9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40"/>
      <c r="C27" s="40"/>
      <c r="D27" s="40"/>
      <c r="E27" s="41"/>
      <c r="F27" s="41"/>
      <c r="G27" s="41"/>
      <c r="H27" s="41"/>
      <c r="I27" s="43"/>
      <c r="J27" s="46"/>
      <c r="K27" s="47" t="s">
        <v>31</v>
      </c>
      <c r="L27" s="48" t="s">
        <v>32</v>
      </c>
      <c r="M27" s="49" t="s">
        <v>33</v>
      </c>
      <c r="N27" s="50" t="s">
        <v>34</v>
      </c>
      <c r="O27" s="51" t="s">
        <v>35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52"/>
      <c r="C28" s="52"/>
      <c r="D28" s="52"/>
      <c r="E28" s="43"/>
      <c r="F28" s="43"/>
      <c r="G28" s="1"/>
      <c r="H28" s="1"/>
      <c r="I28" s="1"/>
      <c r="J28" s="53"/>
      <c r="K28" s="54">
        <v>0.0</v>
      </c>
      <c r="L28" s="55">
        <f>K26*K28</f>
        <v>0</v>
      </c>
      <c r="M28" s="56">
        <v>0.0</v>
      </c>
      <c r="N28" s="57">
        <f>AVERAGE(I41,G56,I71)*(1+$M$28)</f>
        <v>0</v>
      </c>
      <c r="O28" s="58">
        <f>L26</f>
        <v>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59" t="s">
        <v>36</v>
      </c>
      <c r="C29" s="15"/>
      <c r="D29" s="15"/>
      <c r="E29" s="15"/>
      <c r="F29" s="15"/>
      <c r="G29" s="15"/>
      <c r="H29" s="15"/>
      <c r="I29" s="15"/>
      <c r="J29" s="1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60" t="s">
        <v>19</v>
      </c>
      <c r="C30" s="61" t="s">
        <v>20</v>
      </c>
      <c r="D30" s="61" t="s">
        <v>21</v>
      </c>
      <c r="E30" s="62" t="s">
        <v>26</v>
      </c>
      <c r="F30" s="63" t="s">
        <v>37</v>
      </c>
      <c r="G30" s="64" t="s">
        <v>38</v>
      </c>
      <c r="H30" s="60" t="s">
        <v>39</v>
      </c>
      <c r="I30" s="65" t="s">
        <v>40</v>
      </c>
      <c r="J30" s="66" t="s">
        <v>41</v>
      </c>
      <c r="K30" s="67" t="s">
        <v>42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32"/>
      <c r="C31" s="68"/>
      <c r="D31" s="69"/>
      <c r="E31" s="70"/>
      <c r="F31" s="71"/>
      <c r="G31" s="72" t="str">
        <f t="shared" ref="G31:G40" si="10">IF(F31="USD",D31*E31*$F$11,IF(F31="Pesos",D31*E31,"&lt;&lt; Moneda ?"))</f>
        <v>&lt;&lt; Moneda ?</v>
      </c>
      <c r="H31" s="73"/>
      <c r="I31" s="74"/>
      <c r="J31" s="75">
        <f t="shared" ref="J31:J40" si="11">IFERROR(G31*(1+I31)*(1+$M$28),0)</f>
        <v>0</v>
      </c>
      <c r="K31" s="76" t="s">
        <v>43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32"/>
      <c r="C32" s="68"/>
      <c r="D32" s="69"/>
      <c r="E32" s="70"/>
      <c r="F32" s="71"/>
      <c r="G32" s="77" t="str">
        <f t="shared" si="10"/>
        <v>&lt;&lt; Moneda ?</v>
      </c>
      <c r="H32" s="73"/>
      <c r="I32" s="74"/>
      <c r="J32" s="75">
        <f t="shared" si="11"/>
        <v>0</v>
      </c>
      <c r="K32" s="76" t="s">
        <v>43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32"/>
      <c r="C33" s="68"/>
      <c r="D33" s="69"/>
      <c r="E33" s="70"/>
      <c r="F33" s="71"/>
      <c r="G33" s="72" t="str">
        <f t="shared" si="10"/>
        <v>&lt;&lt; Moneda ?</v>
      </c>
      <c r="H33" s="73"/>
      <c r="I33" s="74"/>
      <c r="J33" s="75">
        <f t="shared" si="11"/>
        <v>0</v>
      </c>
      <c r="K33" s="76" t="s">
        <v>43</v>
      </c>
      <c r="L33" s="78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32"/>
      <c r="C34" s="68"/>
      <c r="D34" s="2"/>
      <c r="E34" s="70"/>
      <c r="F34" s="71"/>
      <c r="G34" s="77" t="str">
        <f t="shared" si="10"/>
        <v>&lt;&lt; Moneda ?</v>
      </c>
      <c r="H34" s="73"/>
      <c r="I34" s="74"/>
      <c r="J34" s="75">
        <f t="shared" si="11"/>
        <v>0</v>
      </c>
      <c r="K34" s="76" t="s">
        <v>43</v>
      </c>
      <c r="L34" s="78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32"/>
      <c r="C35" s="68"/>
      <c r="D35" s="69"/>
      <c r="E35" s="70"/>
      <c r="F35" s="71"/>
      <c r="G35" s="72" t="str">
        <f t="shared" si="10"/>
        <v>&lt;&lt; Moneda ?</v>
      </c>
      <c r="H35" s="73"/>
      <c r="I35" s="74"/>
      <c r="J35" s="75">
        <f t="shared" si="11"/>
        <v>0</v>
      </c>
      <c r="K35" s="76" t="s">
        <v>43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32"/>
      <c r="C36" s="68"/>
      <c r="D36" s="69"/>
      <c r="E36" s="70"/>
      <c r="F36" s="71"/>
      <c r="G36" s="77" t="str">
        <f t="shared" si="10"/>
        <v>&lt;&lt; Moneda ?</v>
      </c>
      <c r="H36" s="73"/>
      <c r="I36" s="74"/>
      <c r="J36" s="75">
        <f t="shared" si="11"/>
        <v>0</v>
      </c>
      <c r="K36" s="76" t="s">
        <v>43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32"/>
      <c r="C37" s="68"/>
      <c r="D37" s="69"/>
      <c r="E37" s="69"/>
      <c r="F37" s="71"/>
      <c r="G37" s="72" t="str">
        <f t="shared" si="10"/>
        <v>&lt;&lt; Moneda ?</v>
      </c>
      <c r="H37" s="73"/>
      <c r="I37" s="74"/>
      <c r="J37" s="75">
        <f t="shared" si="11"/>
        <v>0</v>
      </c>
      <c r="K37" s="76" t="s">
        <v>43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32"/>
      <c r="C38" s="68"/>
      <c r="D38" s="2"/>
      <c r="E38" s="70"/>
      <c r="F38" s="71"/>
      <c r="G38" s="77" t="str">
        <f t="shared" si="10"/>
        <v>&lt;&lt; Moneda ?</v>
      </c>
      <c r="H38" s="73"/>
      <c r="I38" s="74"/>
      <c r="J38" s="75">
        <f t="shared" si="11"/>
        <v>0</v>
      </c>
      <c r="K38" s="76" t="s">
        <v>43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32"/>
      <c r="C39" s="68"/>
      <c r="D39" s="69"/>
      <c r="E39" s="69"/>
      <c r="F39" s="71"/>
      <c r="G39" s="72" t="str">
        <f t="shared" si="10"/>
        <v>&lt;&lt; Moneda ?</v>
      </c>
      <c r="H39" s="73"/>
      <c r="I39" s="74"/>
      <c r="J39" s="75">
        <f t="shared" si="11"/>
        <v>0</v>
      </c>
      <c r="K39" s="76" t="s">
        <v>43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33"/>
      <c r="C40" s="68"/>
      <c r="D40" s="2"/>
      <c r="E40" s="70"/>
      <c r="F40" s="71"/>
      <c r="G40" s="79" t="str">
        <f t="shared" si="10"/>
        <v>&lt;&lt; Moneda ?</v>
      </c>
      <c r="H40" s="80"/>
      <c r="I40" s="81"/>
      <c r="J40" s="75">
        <f t="shared" si="11"/>
        <v>0</v>
      </c>
      <c r="K40" s="76" t="s">
        <v>43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82"/>
      <c r="C41" s="82"/>
      <c r="D41" s="82"/>
      <c r="E41" s="83"/>
      <c r="F41" s="41"/>
      <c r="G41" s="82"/>
      <c r="H41" s="84" t="s">
        <v>44</v>
      </c>
      <c r="I41" s="85">
        <f>IFERROR(AVERAGEIF(I31:I40,"&gt;0"),0)</f>
        <v>0</v>
      </c>
      <c r="J41" s="86">
        <f>SUM(J31:J40)</f>
        <v>0</v>
      </c>
      <c r="K41" s="1"/>
      <c r="L41" s="1"/>
      <c r="M41" s="87"/>
      <c r="N41" s="88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82"/>
      <c r="C42" s="82"/>
      <c r="D42" s="82"/>
      <c r="E42" s="89" t="s">
        <v>45</v>
      </c>
      <c r="F42" s="90">
        <f>SUBTOTAL(109,PRESUPUESTO!$G$31:$G$40)</f>
        <v>0</v>
      </c>
      <c r="G42" s="82"/>
      <c r="H42" s="91" t="s">
        <v>46</v>
      </c>
      <c r="I42" s="92">
        <f>I41*(1+$M$28)</f>
        <v>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8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59"/>
      <c r="C44" s="15"/>
      <c r="D44" s="15"/>
      <c r="E44" s="15"/>
      <c r="F44" s="15"/>
      <c r="G44" s="15"/>
      <c r="H44" s="1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60" t="s">
        <v>19</v>
      </c>
      <c r="C45" s="93" t="s">
        <v>20</v>
      </c>
      <c r="D45" s="94" t="s">
        <v>47</v>
      </c>
      <c r="E45" s="95" t="s">
        <v>48</v>
      </c>
      <c r="F45" s="96" t="s">
        <v>49</v>
      </c>
      <c r="G45" s="97" t="s">
        <v>40</v>
      </c>
      <c r="H45" s="98" t="s">
        <v>41</v>
      </c>
      <c r="I45" s="67" t="s">
        <v>42</v>
      </c>
      <c r="J45" s="67" t="s">
        <v>50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99"/>
      <c r="C46" s="2"/>
      <c r="D46" s="100"/>
      <c r="E46" s="101"/>
      <c r="F46" s="102">
        <f t="shared" ref="F46:F55" si="12">IFERROR(D46*(VLOOKUP(E46,LISTAS!$H$3:$I$8,2,0)),0)</f>
        <v>0</v>
      </c>
      <c r="G46" s="103"/>
      <c r="H46" s="104">
        <f t="shared" ref="H46:H55" si="13">IFERROR(F46*(1+G46)*(1+$M$28),0)</f>
        <v>0</v>
      </c>
      <c r="I46" s="105" t="s">
        <v>43</v>
      </c>
      <c r="J46" s="106">
        <f t="shared" ref="J46:J55" si="14">IFERROR(VLOOKUP(E46,LISTAS!$H$3:$I$8,2,0),0)</f>
        <v>0</v>
      </c>
      <c r="K46" s="107" t="s">
        <v>51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99"/>
      <c r="C47" s="2"/>
      <c r="D47" s="100"/>
      <c r="E47" s="101"/>
      <c r="F47" s="102">
        <f t="shared" si="12"/>
        <v>0</v>
      </c>
      <c r="G47" s="103"/>
      <c r="H47" s="108">
        <f t="shared" si="13"/>
        <v>0</v>
      </c>
      <c r="I47" s="105" t="s">
        <v>43</v>
      </c>
      <c r="J47" s="106">
        <f t="shared" si="14"/>
        <v>0</v>
      </c>
      <c r="K47" s="10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99"/>
      <c r="C48" s="2"/>
      <c r="D48" s="100"/>
      <c r="E48" s="101"/>
      <c r="F48" s="102">
        <f t="shared" si="12"/>
        <v>0</v>
      </c>
      <c r="G48" s="103"/>
      <c r="H48" s="108">
        <f t="shared" si="13"/>
        <v>0</v>
      </c>
      <c r="I48" s="105" t="s">
        <v>43</v>
      </c>
      <c r="J48" s="106">
        <f t="shared" si="14"/>
        <v>0</v>
      </c>
      <c r="K48" s="109"/>
      <c r="L48" s="78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99"/>
      <c r="C49" s="2"/>
      <c r="D49" s="100"/>
      <c r="E49" s="101"/>
      <c r="F49" s="102">
        <f t="shared" si="12"/>
        <v>0</v>
      </c>
      <c r="G49" s="103"/>
      <c r="H49" s="108">
        <f t="shared" si="13"/>
        <v>0</v>
      </c>
      <c r="I49" s="105" t="s">
        <v>43</v>
      </c>
      <c r="J49" s="106">
        <f t="shared" si="14"/>
        <v>0</v>
      </c>
      <c r="K49" s="10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99"/>
      <c r="C50" s="2"/>
      <c r="D50" s="100"/>
      <c r="E50" s="101"/>
      <c r="F50" s="102">
        <f t="shared" si="12"/>
        <v>0</v>
      </c>
      <c r="G50" s="103"/>
      <c r="H50" s="108">
        <f t="shared" si="13"/>
        <v>0</v>
      </c>
      <c r="I50" s="105" t="s">
        <v>43</v>
      </c>
      <c r="J50" s="106">
        <f t="shared" si="14"/>
        <v>0</v>
      </c>
      <c r="K50" s="10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99"/>
      <c r="C51" s="2"/>
      <c r="D51" s="100"/>
      <c r="E51" s="101"/>
      <c r="F51" s="102">
        <f t="shared" si="12"/>
        <v>0</v>
      </c>
      <c r="G51" s="103"/>
      <c r="H51" s="108">
        <f t="shared" si="13"/>
        <v>0</v>
      </c>
      <c r="I51" s="105" t="s">
        <v>43</v>
      </c>
      <c r="J51" s="106">
        <f t="shared" si="14"/>
        <v>0</v>
      </c>
      <c r="K51" s="10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99"/>
      <c r="C52" s="2"/>
      <c r="D52" s="100"/>
      <c r="E52" s="101"/>
      <c r="F52" s="102">
        <f t="shared" si="12"/>
        <v>0</v>
      </c>
      <c r="G52" s="103"/>
      <c r="H52" s="108">
        <f t="shared" si="13"/>
        <v>0</v>
      </c>
      <c r="I52" s="105" t="s">
        <v>43</v>
      </c>
      <c r="J52" s="106">
        <f t="shared" si="14"/>
        <v>0</v>
      </c>
      <c r="K52" s="110" t="s">
        <v>52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99"/>
      <c r="C53" s="2"/>
      <c r="D53" s="100"/>
      <c r="E53" s="101"/>
      <c r="F53" s="102">
        <f t="shared" si="12"/>
        <v>0</v>
      </c>
      <c r="G53" s="103"/>
      <c r="H53" s="108">
        <f t="shared" si="13"/>
        <v>0</v>
      </c>
      <c r="I53" s="105" t="s">
        <v>43</v>
      </c>
      <c r="J53" s="106">
        <f t="shared" si="14"/>
        <v>0</v>
      </c>
      <c r="K53" s="10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99"/>
      <c r="C54" s="2"/>
      <c r="D54" s="100"/>
      <c r="E54" s="101"/>
      <c r="F54" s="102">
        <f t="shared" si="12"/>
        <v>0</v>
      </c>
      <c r="G54" s="103"/>
      <c r="H54" s="108">
        <f t="shared" si="13"/>
        <v>0</v>
      </c>
      <c r="I54" s="105" t="s">
        <v>43</v>
      </c>
      <c r="J54" s="106">
        <f t="shared" si="14"/>
        <v>0</v>
      </c>
      <c r="K54" s="10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99"/>
      <c r="C55" s="2"/>
      <c r="D55" s="100"/>
      <c r="E55" s="101"/>
      <c r="F55" s="102">
        <f t="shared" si="12"/>
        <v>0</v>
      </c>
      <c r="G55" s="103"/>
      <c r="H55" s="111">
        <f t="shared" si="13"/>
        <v>0</v>
      </c>
      <c r="I55" s="105" t="s">
        <v>43</v>
      </c>
      <c r="J55" s="106">
        <f t="shared" si="14"/>
        <v>0</v>
      </c>
      <c r="K55" s="10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89" t="s">
        <v>53</v>
      </c>
      <c r="D56" s="112">
        <f>SUBTOTAL(109,PRESUPUESTO!$D$46:$D$55)</f>
        <v>0</v>
      </c>
      <c r="E56" s="113" t="s">
        <v>54</v>
      </c>
      <c r="F56" s="90">
        <f>SUM(PRESUPUESTO!$F$46:$F$55)</f>
        <v>0</v>
      </c>
      <c r="G56" s="114">
        <f>IFERROR(AVERAGEIF(G46:G55,"&gt;0"),0)</f>
        <v>0</v>
      </c>
      <c r="H56" s="115">
        <f>SUM(H46:H55)</f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02"/>
      <c r="G57" s="92">
        <f>G56*(1+$M$28)</f>
        <v>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59" t="s">
        <v>55</v>
      </c>
      <c r="C59" s="15"/>
      <c r="D59" s="15"/>
      <c r="E59" s="15"/>
      <c r="F59" s="15"/>
      <c r="G59" s="15"/>
      <c r="H59" s="16"/>
      <c r="I59" s="116"/>
      <c r="J59" s="11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18" t="s">
        <v>19</v>
      </c>
      <c r="C60" s="119" t="s">
        <v>20</v>
      </c>
      <c r="D60" s="120" t="s">
        <v>21</v>
      </c>
      <c r="E60" s="120" t="s">
        <v>26</v>
      </c>
      <c r="F60" s="121" t="s">
        <v>37</v>
      </c>
      <c r="G60" s="122" t="s">
        <v>56</v>
      </c>
      <c r="H60" s="118" t="s">
        <v>57</v>
      </c>
      <c r="I60" s="123" t="s">
        <v>40</v>
      </c>
      <c r="J60" s="17" t="s">
        <v>41</v>
      </c>
      <c r="K60" s="67" t="s">
        <v>42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24"/>
      <c r="C61" s="125"/>
      <c r="D61" s="126"/>
      <c r="E61" s="127"/>
      <c r="F61" s="126"/>
      <c r="G61" s="128" t="str">
        <f t="shared" ref="G61:G70" si="15">IF(F61="USD",D61*E61*$F$11,IF(F61="Pesos",D61*E61,"&lt;&lt; Moneda ?"))</f>
        <v>&lt;&lt; Moneda ?</v>
      </c>
      <c r="H61" s="124"/>
      <c r="I61" s="129"/>
      <c r="J61" s="130">
        <f t="shared" ref="J61:J70" si="16">IFERROR(G61*(1+I61)*(1+$M$28),0)</f>
        <v>0</v>
      </c>
      <c r="K61" s="76" t="s">
        <v>43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31"/>
      <c r="C62" s="125"/>
      <c r="D62" s="126"/>
      <c r="E62" s="127"/>
      <c r="F62" s="126"/>
      <c r="G62" s="132" t="str">
        <f t="shared" si="15"/>
        <v>&lt;&lt; Moneda ?</v>
      </c>
      <c r="H62" s="124"/>
      <c r="I62" s="129"/>
      <c r="J62" s="133">
        <f t="shared" si="16"/>
        <v>0</v>
      </c>
      <c r="K62" s="76" t="s">
        <v>43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31"/>
      <c r="C63" s="125"/>
      <c r="D63" s="126"/>
      <c r="E63" s="127"/>
      <c r="F63" s="126"/>
      <c r="G63" s="134" t="str">
        <f t="shared" si="15"/>
        <v>&lt;&lt; Moneda ?</v>
      </c>
      <c r="H63" s="124"/>
      <c r="I63" s="129"/>
      <c r="J63" s="133">
        <f t="shared" si="16"/>
        <v>0</v>
      </c>
      <c r="K63" s="76" t="s">
        <v>43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31"/>
      <c r="C64" s="125"/>
      <c r="D64" s="126"/>
      <c r="E64" s="127"/>
      <c r="F64" s="126"/>
      <c r="G64" s="132" t="str">
        <f t="shared" si="15"/>
        <v>&lt;&lt; Moneda ?</v>
      </c>
      <c r="H64" s="124"/>
      <c r="I64" s="129"/>
      <c r="J64" s="133">
        <f t="shared" si="16"/>
        <v>0</v>
      </c>
      <c r="K64" s="76" t="s">
        <v>43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31"/>
      <c r="C65" s="125"/>
      <c r="D65" s="126"/>
      <c r="E65" s="127"/>
      <c r="F65" s="126"/>
      <c r="G65" s="134" t="str">
        <f t="shared" si="15"/>
        <v>&lt;&lt; Moneda ?</v>
      </c>
      <c r="H65" s="124"/>
      <c r="I65" s="129"/>
      <c r="J65" s="133">
        <f t="shared" si="16"/>
        <v>0</v>
      </c>
      <c r="K65" s="76" t="s">
        <v>43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31"/>
      <c r="C66" s="125"/>
      <c r="D66" s="126"/>
      <c r="E66" s="127"/>
      <c r="F66" s="126"/>
      <c r="G66" s="132" t="str">
        <f t="shared" si="15"/>
        <v>&lt;&lt; Moneda ?</v>
      </c>
      <c r="H66" s="131"/>
      <c r="I66" s="135"/>
      <c r="J66" s="133">
        <f t="shared" si="16"/>
        <v>0</v>
      </c>
      <c r="K66" s="76" t="s">
        <v>43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31"/>
      <c r="C67" s="125"/>
      <c r="D67" s="126"/>
      <c r="E67" s="127"/>
      <c r="F67" s="126"/>
      <c r="G67" s="134" t="str">
        <f t="shared" si="15"/>
        <v>&lt;&lt; Moneda ?</v>
      </c>
      <c r="H67" s="131"/>
      <c r="I67" s="135"/>
      <c r="J67" s="133">
        <f t="shared" si="16"/>
        <v>0</v>
      </c>
      <c r="K67" s="76" t="s">
        <v>43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31"/>
      <c r="C68" s="125"/>
      <c r="D68" s="126"/>
      <c r="E68" s="127"/>
      <c r="F68" s="126"/>
      <c r="G68" s="132" t="str">
        <f t="shared" si="15"/>
        <v>&lt;&lt; Moneda ?</v>
      </c>
      <c r="H68" s="131"/>
      <c r="I68" s="135"/>
      <c r="J68" s="133">
        <f t="shared" si="16"/>
        <v>0</v>
      </c>
      <c r="K68" s="76" t="s">
        <v>43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31"/>
      <c r="C69" s="125"/>
      <c r="D69" s="126"/>
      <c r="E69" s="127"/>
      <c r="F69" s="136"/>
      <c r="G69" s="134" t="str">
        <f t="shared" si="15"/>
        <v>&lt;&lt; Moneda ?</v>
      </c>
      <c r="H69" s="131"/>
      <c r="I69" s="135"/>
      <c r="J69" s="133">
        <f t="shared" si="16"/>
        <v>0</v>
      </c>
      <c r="K69" s="76" t="s">
        <v>43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37"/>
      <c r="C70" s="125"/>
      <c r="D70" s="126"/>
      <c r="E70" s="127"/>
      <c r="F70" s="138"/>
      <c r="G70" s="139" t="str">
        <f t="shared" si="15"/>
        <v>&lt;&lt; Moneda ?</v>
      </c>
      <c r="H70" s="137"/>
      <c r="I70" s="140"/>
      <c r="J70" s="141">
        <f t="shared" si="16"/>
        <v>0</v>
      </c>
      <c r="K70" s="76" t="s">
        <v>43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83"/>
      <c r="F71" s="142" t="s">
        <v>45</v>
      </c>
      <c r="G71" s="90">
        <f>SUBTOTAL(109,PRESUPUESTO!$G$61:$G$70)</f>
        <v>0</v>
      </c>
      <c r="H71" s="143" t="s">
        <v>58</v>
      </c>
      <c r="I71" s="114">
        <f>IFERROR(AVERAGEIF(I61:I70,"&gt;0"),0)</f>
        <v>0</v>
      </c>
      <c r="J71" s="144">
        <f>SUM(J61:J70)</f>
        <v>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91" t="s">
        <v>46</v>
      </c>
      <c r="I72" s="92">
        <f>I71*(1+$M$28)</f>
        <v>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8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C11:D11"/>
    <mergeCell ref="B13:L13"/>
    <mergeCell ref="B29:J29"/>
    <mergeCell ref="B44:H44"/>
    <mergeCell ref="K46:K51"/>
    <mergeCell ref="K52:K55"/>
    <mergeCell ref="B59:H59"/>
  </mergeCells>
  <conditionalFormatting sqref="E15:L24">
    <cfRule type="expression" dxfId="0" priority="1">
      <formula>$H$6="USD"</formula>
    </cfRule>
  </conditionalFormatting>
  <conditionalFormatting sqref="K26:L26 L28">
    <cfRule type="expression" dxfId="0" priority="2">
      <formula>$H$6="USD"</formula>
    </cfRule>
  </conditionalFormatting>
  <conditionalFormatting sqref="F7">
    <cfRule type="containsText" dxfId="1" priority="3" operator="containsText" text="No encontrada">
      <formula>NOT(ISERROR(SEARCH(("No encontrada"),(F7))))</formula>
    </cfRule>
  </conditionalFormatting>
  <conditionalFormatting sqref="C11:D11">
    <cfRule type="containsText" dxfId="1" priority="4" operator="containsText" text="No encontrada">
      <formula>NOT(ISERROR(SEARCH(("No encontrada"),(C11))))</formula>
    </cfRule>
  </conditionalFormatting>
  <conditionalFormatting sqref="K31:K40">
    <cfRule type="containsBlanks" dxfId="2" priority="5">
      <formula>LEN(TRIM(K31))=0</formula>
    </cfRule>
  </conditionalFormatting>
  <conditionalFormatting sqref="I46:I55">
    <cfRule type="containsBlanks" dxfId="3" priority="6">
      <formula>LEN(TRIM(I46))=0</formula>
    </cfRule>
  </conditionalFormatting>
  <conditionalFormatting sqref="K61:K70">
    <cfRule type="containsBlanks" dxfId="3" priority="7">
      <formula>LEN(TRIM(K61))=0</formula>
    </cfRule>
  </conditionalFormatting>
  <conditionalFormatting sqref="F46:F55">
    <cfRule type="expression" dxfId="4" priority="8">
      <formula>$F46&lt;&gt;($D46*$J46)</formula>
    </cfRule>
  </conditionalFormatting>
  <conditionalFormatting sqref="F57">
    <cfRule type="expression" dxfId="4" priority="9">
      <formula>$F57&lt;&gt;($D57*$J57)</formula>
    </cfRule>
  </conditionalFormatting>
  <dataValidations>
    <dataValidation type="list" allowBlank="1" showErrorMessage="1" sqref="E46:E55">
      <formula1>LISTAS!$H$3:$H$7</formula1>
    </dataValidation>
    <dataValidation type="list" allowBlank="1" showErrorMessage="1" sqref="H7">
      <formula1>LISTAS!$C$2:$C$13</formula1>
    </dataValidation>
    <dataValidation type="decimal" allowBlank="1" showInputMessage="1" showErrorMessage="1" prompt="ITEM - Se deben colocar valores enteros entre 1 y 8" sqref="B41:B42">
      <formula1>0.0</formula1>
      <formula2>8.0</formula2>
    </dataValidation>
    <dataValidation type="date" allowBlank="1" showErrorMessage="1" sqref="F6">
      <formula1>36526.0</formula1>
      <formula2>73385.0</formula2>
    </dataValidation>
    <dataValidation type="decimal" allowBlank="1" showInputMessage="1" showErrorMessage="1" prompt="CANTIDAD - Introducir cantidad de unidades del item seleccionado" sqref="D15:D24">
      <formula1>0.0</formula1>
      <formula2>1000.0</formula2>
    </dataValidation>
    <dataValidation type="list" allowBlank="1" showErrorMessage="1" sqref="H6">
      <formula1>LISTAS!$F$3:$F$6</formula1>
    </dataValidation>
    <dataValidation type="list" allowBlank="1" showErrorMessage="1" sqref="K31:K40 I46:I55 K61:K70">
      <formula1>"Si,No"</formula1>
    </dataValidation>
    <dataValidation type="list" allowBlank="1" showErrorMessage="1" sqref="H61:H70">
      <formula1>LISTAS!$K$3:$K$8</formula1>
    </dataValidation>
    <dataValidation type="list" allowBlank="1" showErrorMessage="1" sqref="F31:F40 F61:F70">
      <formula1>"USD,Pesos"</formula1>
    </dataValidation>
  </dataValidations>
  <printOptions/>
  <pageMargins bottom="0.75" footer="0.0" header="0.0" left="0.7" right="0.7" top="0.75"/>
  <pageSetup paperSize="9" orientation="landscape"/>
  <drawing r:id="rId1"/>
</worksheet>
</file>