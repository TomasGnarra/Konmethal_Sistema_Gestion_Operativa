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CION" sheetId="1" r:id="rId5"/>
  </sheets>
  <definedNames>
    <definedName localSheetId="0" name="Cantidad">COTIZACION!$C$16:$C$46</definedName>
    <definedName localSheetId="0" name="Print_Area">COTIZACION!$B$1:$J$57</definedName>
    <definedName localSheetId="0" name="Descripcion">COTIZACION!$D$16:$H$46</definedName>
    <definedName localSheetId="0" name="TRABAJO">COTIZACION!$D$12</definedName>
    <definedName localSheetId="0" name="Supedido">COTIZACION!$I$11</definedName>
    <definedName localSheetId="0" name="Precioun">COTIZACION!$I$16:$I$46</definedName>
    <definedName localSheetId="0" name="Item">COTIZACION!$B$16:$B$46</definedName>
    <definedName localSheetId="0" name="Provisión_de_perno_SAE_8620__Ø138_mm_x_740_mm_endurecido__según_código_0500060855">COTIZACION!$D$17:$D$46</definedName>
  </definedNames>
  <calcPr/>
</workbook>
</file>

<file path=xl/sharedStrings.xml><?xml version="1.0" encoding="utf-8"?>
<sst xmlns="http://schemas.openxmlformats.org/spreadsheetml/2006/main" count="32" uniqueCount="30">
  <si>
    <t>Maestro Vidal 1053 CP 5010 - Córdoba - Argentina</t>
  </si>
  <si>
    <t>Las celdas marcadas con este color se deben</t>
  </si>
  <si>
    <t xml:space="preserve">Tel.: +54 351 4892432 - e-mail: info@kmtl.com.ar </t>
  </si>
  <si>
    <t>completar manualmente. Las demás tienen fórmulas</t>
  </si>
  <si>
    <t xml:space="preserve">FECHA:    </t>
  </si>
  <si>
    <t>COTIZACION Nº:</t>
  </si>
  <si>
    <t>Horas cotizadas:</t>
  </si>
  <si>
    <t>EMPRESA:</t>
  </si>
  <si>
    <t>Su pedido de cotización</t>
  </si>
  <si>
    <t>A PEDIDO DE:</t>
  </si>
  <si>
    <t>OC 33834</t>
  </si>
  <si>
    <t xml:space="preserve">TRABAJO/OBRA: </t>
  </si>
  <si>
    <t>ITEM</t>
  </si>
  <si>
    <t>CANTIDAD</t>
  </si>
  <si>
    <t>DETALLE</t>
  </si>
  <si>
    <t xml:space="preserve">PRECIO </t>
  </si>
  <si>
    <t>UNITARIO</t>
  </si>
  <si>
    <t>TOTAL</t>
  </si>
  <si>
    <t>&lt;&lt; ATENCIÓN: Si esta celda está de color rojo, es porque no coincide la suma con el total del presupuesto</t>
  </si>
  <si>
    <t>VALOR TOTAL</t>
  </si>
  <si>
    <t>Precio en:</t>
  </si>
  <si>
    <t>Valor de referencia hora UOM hoy</t>
  </si>
  <si>
    <t xml:space="preserve">Condición de pago: </t>
  </si>
  <si>
    <t>Referencia Dólar billete BNA tipo vendedor hoy</t>
  </si>
  <si>
    <t xml:space="preserve">Lugar de entrega: </t>
  </si>
  <si>
    <t xml:space="preserve">Plazo de entrega: </t>
  </si>
  <si>
    <t>días</t>
  </si>
  <si>
    <t>Validez de la oferta:</t>
  </si>
  <si>
    <t xml:space="preserve">(Una vez vencida esta cotización se actualizará según % incrementos UOM) </t>
  </si>
  <si>
    <t>IMPORTANTE: Transcurrido el vencimiento de condición de pago, nos veremos obligados a actualizar los valores facturados con una 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</si>
</sst>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[$$-C09]#,##0.00"/>
    <numFmt numFmtId="166" formatCode="[$$-C09]#,##0"/>
    <numFmt numFmtId="167" formatCode="0;\-0;"/>
    <numFmt numFmtId="168" formatCode="[$$-C09]#,##0.0"/>
    <numFmt numFmtId="169" formatCode="_(* #,##0.00_);_(* \(#,##0.00\);_(* &quot;-&quot;??_);_(@_)"/>
    <numFmt numFmtId="170" formatCode="#,##0.000"/>
    <numFmt numFmtId="171" formatCode="&quot;$&quot;#,##0.00"/>
    <numFmt numFmtId="172" formatCode="0.000"/>
  </numFmts>
  <fonts count="19">
    <font>
      <sz val="10.0"/>
      <color rgb="FF000000"/>
      <name val="Arial"/>
      <scheme val="minor"/>
    </font>
    <font>
      <sz val="10.0"/>
      <color theme="1"/>
      <name val="Arial"/>
    </font>
    <font>
      <b/>
      <sz val="20.0"/>
      <color theme="1"/>
      <name val="Times New Roman"/>
    </font>
    <font/>
    <font>
      <sz val="12.0"/>
      <color theme="1"/>
      <name val="Times New Roman"/>
    </font>
    <font>
      <b/>
      <sz val="10.0"/>
      <color rgb="FF0070C0"/>
      <name val="Times New Roman"/>
    </font>
    <font>
      <sz val="10.0"/>
      <color theme="1"/>
      <name val="Times New Roman"/>
    </font>
    <font>
      <b/>
      <sz val="12.0"/>
      <color theme="1"/>
      <name val="Candara"/>
    </font>
    <font>
      <sz val="10.0"/>
      <color theme="1"/>
      <name val="Candara"/>
    </font>
    <font>
      <sz val="12.0"/>
      <color theme="1"/>
      <name val="Candara"/>
    </font>
    <font>
      <b/>
      <sz val="11.0"/>
      <color theme="1"/>
      <name val="Candara"/>
    </font>
    <font>
      <sz val="11.0"/>
      <color theme="1"/>
      <name val="Candara"/>
    </font>
    <font>
      <b/>
      <sz val="10.0"/>
      <color theme="1"/>
      <name val="Arial"/>
    </font>
    <font>
      <u/>
      <sz val="11.0"/>
      <color theme="1"/>
      <name val="Candara"/>
    </font>
    <font>
      <sz val="11.0"/>
      <color theme="1"/>
      <name val="Arial"/>
    </font>
    <font>
      <sz val="14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</fills>
  <borders count="7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right/>
      <top style="double">
        <color rgb="FF000000"/>
      </top>
    </border>
    <border>
      <left/>
      <right/>
      <top style="double">
        <color rgb="FF000000"/>
      </top>
      <bottom/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</border>
    <border>
      <right/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/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Border="1" applyFont="1"/>
    <xf borderId="1" fillId="2" fontId="5" numFmtId="0" xfId="0" applyBorder="1" applyFont="1"/>
    <xf borderId="5" fillId="3" fontId="1" numFmtId="0" xfId="0" applyAlignment="1" applyBorder="1" applyFill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1" fillId="2" fontId="5" numFmtId="0" xfId="0" applyAlignment="1" applyBorder="1" applyFont="1">
      <alignment horizontal="left"/>
    </xf>
    <xf borderId="1" fillId="2" fontId="6" numFmtId="0" xfId="0" applyBorder="1" applyFont="1"/>
    <xf borderId="8" fillId="2" fontId="7" numFmtId="0" xfId="0" applyAlignment="1" applyBorder="1" applyFont="1">
      <alignment horizontal="right" vertical="center"/>
    </xf>
    <xf borderId="9" fillId="0" fontId="3" numFmtId="0" xfId="0" applyBorder="1" applyFont="1"/>
    <xf borderId="10" fillId="2" fontId="7" numFmtId="0" xfId="0" applyAlignment="1" applyBorder="1" applyFont="1">
      <alignment vertical="center"/>
    </xf>
    <xf borderId="11" fillId="2" fontId="7" numFmtId="0" xfId="0" applyAlignment="1" applyBorder="1" applyFont="1">
      <alignment horizontal="right" shrinkToFit="0" vertical="center" wrapText="1"/>
    </xf>
    <xf borderId="12" fillId="0" fontId="3" numFmtId="0" xfId="0" applyBorder="1" applyFont="1"/>
    <xf borderId="13" fillId="2" fontId="7" numFmtId="0" xfId="0" applyAlignment="1" applyBorder="1" applyFont="1">
      <alignment vertical="center"/>
    </xf>
    <xf borderId="14" fillId="0" fontId="3" numFmtId="0" xfId="0" applyBorder="1" applyFont="1"/>
    <xf borderId="15" fillId="0" fontId="3" numFmtId="0" xfId="0" applyBorder="1" applyFont="1"/>
    <xf borderId="0" fillId="0" fontId="1" numFmtId="164" xfId="0" applyAlignment="1" applyFont="1" applyNumberFormat="1">
      <alignment horizontal="left" vertical="center"/>
    </xf>
    <xf borderId="1" fillId="2" fontId="7" numFmtId="0" xfId="0" applyAlignment="1" applyBorder="1" applyFont="1">
      <alignment vertical="center"/>
    </xf>
    <xf borderId="16" fillId="0" fontId="3" numFmtId="0" xfId="0" applyBorder="1" applyFont="1"/>
    <xf borderId="0" fillId="0" fontId="1" numFmtId="0" xfId="0" applyAlignment="1" applyFont="1">
      <alignment horizontal="left" vertical="center"/>
    </xf>
    <xf borderId="17" fillId="0" fontId="7" numFmtId="0" xfId="0" applyAlignment="1" applyBorder="1" applyFont="1">
      <alignment vertical="center"/>
    </xf>
    <xf borderId="18" fillId="0" fontId="3" numFmtId="0" xfId="0" applyBorder="1" applyFont="1"/>
    <xf borderId="19" fillId="0" fontId="3" numFmtId="0" xfId="0" applyBorder="1" applyFont="1"/>
    <xf borderId="20" fillId="2" fontId="7" numFmtId="0" xfId="0" applyAlignment="1" applyBorder="1" applyFont="1">
      <alignment vertical="center"/>
    </xf>
    <xf borderId="21" fillId="0" fontId="3" numFmtId="0" xfId="0" applyBorder="1" applyFont="1"/>
    <xf borderId="22" fillId="0" fontId="3" numFmtId="0" xfId="0" applyBorder="1" applyFont="1"/>
    <xf borderId="23" fillId="2" fontId="7" numFmtId="0" xfId="0" applyAlignment="1" applyBorder="1" applyFont="1">
      <alignment vertical="center"/>
    </xf>
    <xf borderId="24" fillId="2" fontId="8" numFmtId="0" xfId="0" applyBorder="1" applyFont="1"/>
    <xf borderId="1" fillId="2" fontId="8" numFmtId="0" xfId="0" applyBorder="1" applyFont="1"/>
    <xf borderId="25" fillId="2" fontId="8" numFmtId="0" xfId="0" applyBorder="1" applyFont="1"/>
    <xf borderId="24" fillId="2" fontId="8" numFmtId="0" xfId="0" applyAlignment="1" applyBorder="1" applyFont="1">
      <alignment horizontal="center"/>
    </xf>
    <xf borderId="25" fillId="2" fontId="8" numFmtId="0" xfId="0" applyAlignment="1" applyBorder="1" applyFont="1">
      <alignment horizontal="center"/>
    </xf>
    <xf borderId="26" fillId="2" fontId="7" numFmtId="0" xfId="0" applyAlignment="1" applyBorder="1" applyFont="1">
      <alignment horizontal="right"/>
    </xf>
    <xf borderId="0" fillId="0" fontId="9" numFmtId="0" xfId="0" applyFont="1"/>
    <xf borderId="0" fillId="0" fontId="10" numFmtId="0" xfId="0" applyFont="1"/>
    <xf borderId="27" fillId="0" fontId="10" numFmtId="0" xfId="0" applyBorder="1" applyFont="1"/>
    <xf borderId="26" fillId="2" fontId="10" numFmtId="0" xfId="0" applyAlignment="1" applyBorder="1" applyFont="1">
      <alignment horizontal="center"/>
    </xf>
    <xf borderId="28" fillId="0" fontId="3" numFmtId="0" xfId="0" applyBorder="1" applyFont="1"/>
    <xf borderId="16" fillId="0" fontId="7" numFmtId="0" xfId="0" applyAlignment="1" applyBorder="1" applyFont="1">
      <alignment horizontal="right"/>
    </xf>
    <xf borderId="0" fillId="0" fontId="9" numFmtId="164" xfId="0" applyFont="1" applyNumberFormat="1"/>
    <xf borderId="1" fillId="2" fontId="11" numFmtId="0" xfId="0" applyBorder="1" applyFont="1"/>
    <xf borderId="25" fillId="2" fontId="11" numFmtId="0" xfId="0" applyBorder="1" applyFont="1"/>
    <xf borderId="24" fillId="2" fontId="7" numFmtId="0" xfId="0" applyAlignment="1" applyBorder="1" applyFont="1">
      <alignment horizontal="center"/>
    </xf>
    <xf borderId="25" fillId="2" fontId="11" numFmtId="0" xfId="0" applyAlignment="1" applyBorder="1" applyFont="1">
      <alignment horizontal="center"/>
    </xf>
    <xf borderId="29" fillId="2" fontId="11" numFmtId="0" xfId="0" applyBorder="1" applyFont="1"/>
    <xf borderId="30" fillId="2" fontId="11" numFmtId="0" xfId="0" applyBorder="1" applyFont="1"/>
    <xf borderId="31" fillId="2" fontId="11" numFmtId="0" xfId="0" applyBorder="1" applyFont="1"/>
    <xf borderId="32" fillId="2" fontId="7" numFmtId="0" xfId="0" applyAlignment="1" applyBorder="1" applyFont="1">
      <alignment horizontal="right" vertical="center"/>
    </xf>
    <xf borderId="33" fillId="0" fontId="3" numFmtId="0" xfId="0" applyBorder="1" applyFont="1"/>
    <xf borderId="34" fillId="2" fontId="7" numFmtId="0" xfId="0" applyAlignment="1" applyBorder="1" applyFont="1">
      <alignment horizontal="left" shrinkToFit="0" vertical="center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2" fontId="9" numFmtId="49" xfId="0" applyAlignment="1" applyBorder="1" applyFont="1" applyNumberFormat="1">
      <alignment horizontal="center"/>
    </xf>
    <xf borderId="43" fillId="0" fontId="3" numFmtId="0" xfId="0" applyBorder="1" applyFont="1"/>
    <xf borderId="44" fillId="2" fontId="10" numFmtId="0" xfId="0" applyAlignment="1" applyBorder="1" applyFont="1">
      <alignment horizontal="center" vertical="center"/>
    </xf>
    <xf borderId="45" fillId="2" fontId="10" numFmtId="0" xfId="0" applyAlignment="1" applyBorder="1" applyFont="1">
      <alignment horizontal="center" vertical="center"/>
    </xf>
    <xf borderId="46" fillId="2" fontId="10" numFmtId="0" xfId="0" applyAlignment="1" applyBorder="1" applyFont="1">
      <alignment horizontal="center" vertical="center"/>
    </xf>
    <xf borderId="47" fillId="0" fontId="3" numFmtId="0" xfId="0" applyBorder="1" applyFont="1"/>
    <xf borderId="48" fillId="0" fontId="3" numFmtId="0" xfId="0" applyBorder="1" applyFont="1"/>
    <xf borderId="49" fillId="2" fontId="10" numFmtId="0" xfId="0" applyAlignment="1" applyBorder="1" applyFont="1">
      <alignment horizontal="center" vertical="center"/>
    </xf>
    <xf borderId="50" fillId="2" fontId="10" numFmtId="0" xfId="0" applyAlignment="1" applyBorder="1" applyFont="1">
      <alignment horizontal="center"/>
    </xf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29" fillId="2" fontId="10" numFmtId="0" xfId="0" applyAlignment="1" applyBorder="1" applyFont="1">
      <alignment horizontal="center" vertical="center"/>
    </xf>
    <xf borderId="56" fillId="2" fontId="10" numFmtId="2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/>
    </xf>
    <xf borderId="57" fillId="0" fontId="11" numFmtId="1" xfId="0" applyAlignment="1" applyBorder="1" applyFont="1" applyNumberFormat="1">
      <alignment horizontal="center" vertical="center"/>
    </xf>
    <xf borderId="27" fillId="0" fontId="11" numFmtId="1" xfId="0" applyAlignment="1" applyBorder="1" applyFont="1" applyNumberFormat="1">
      <alignment horizontal="center" vertical="center"/>
    </xf>
    <xf borderId="26" fillId="2" fontId="11" numFmtId="0" xfId="0" applyAlignment="1" applyBorder="1" applyFont="1">
      <alignment shrinkToFit="0" vertical="center" wrapText="1"/>
    </xf>
    <xf borderId="27" fillId="0" fontId="11" numFmtId="165" xfId="0" applyAlignment="1" applyBorder="1" applyFont="1" applyNumberFormat="1">
      <alignment horizontal="center"/>
    </xf>
    <xf borderId="58" fillId="0" fontId="11" numFmtId="165" xfId="0" applyAlignment="1" applyBorder="1" applyFont="1" applyNumberFormat="1">
      <alignment horizontal="center"/>
    </xf>
    <xf borderId="1" fillId="2" fontId="1" numFmtId="2" xfId="0" applyBorder="1" applyFont="1" applyNumberFormat="1"/>
    <xf borderId="59" fillId="0" fontId="11" numFmtId="165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right"/>
    </xf>
    <xf borderId="60" fillId="2" fontId="11" numFmtId="1" xfId="0" applyAlignment="1" applyBorder="1" applyFont="1" applyNumberFormat="1">
      <alignment horizontal="center" vertical="center"/>
    </xf>
    <xf borderId="25" fillId="2" fontId="11" numFmtId="1" xfId="0" applyAlignment="1" applyBorder="1" applyFont="1" applyNumberFormat="1">
      <alignment horizontal="center" vertical="center"/>
    </xf>
    <xf borderId="1" fillId="2" fontId="1" numFmtId="166" xfId="0" applyBorder="1" applyFont="1" applyNumberFormat="1"/>
    <xf borderId="60" fillId="2" fontId="11" numFmtId="1" xfId="0" applyAlignment="1" applyBorder="1" applyFont="1" applyNumberFormat="1">
      <alignment horizontal="center"/>
    </xf>
    <xf borderId="25" fillId="2" fontId="11" numFmtId="1" xfId="0" applyAlignment="1" applyBorder="1" applyFont="1" applyNumberFormat="1">
      <alignment horizontal="center"/>
    </xf>
    <xf borderId="57" fillId="0" fontId="11" numFmtId="1" xfId="0" applyAlignment="1" applyBorder="1" applyFont="1" applyNumberFormat="1">
      <alignment horizontal="center"/>
    </xf>
    <xf borderId="27" fillId="0" fontId="11" numFmtId="167" xfId="0" applyAlignment="1" applyBorder="1" applyFont="1" applyNumberFormat="1">
      <alignment horizontal="center" vertical="center"/>
    </xf>
    <xf borderId="61" fillId="2" fontId="11" numFmtId="165" xfId="0" applyAlignment="1" applyBorder="1" applyFont="1" applyNumberFormat="1">
      <alignment horizontal="center"/>
    </xf>
    <xf borderId="1" fillId="2" fontId="12" numFmtId="0" xfId="0" applyAlignment="1" applyBorder="1" applyFont="1">
      <alignment vertical="center"/>
    </xf>
    <xf borderId="61" fillId="2" fontId="11" numFmtId="1" xfId="0" applyAlignment="1" applyBorder="1" applyFont="1" applyNumberFormat="1">
      <alignment horizontal="center"/>
    </xf>
    <xf borderId="26" fillId="2" fontId="11" numFmtId="0" xfId="0" applyAlignment="1" applyBorder="1" applyFont="1">
      <alignment shrinkToFit="0" wrapText="1"/>
    </xf>
    <xf borderId="62" fillId="2" fontId="11" numFmtId="1" xfId="0" applyAlignment="1" applyBorder="1" applyFont="1" applyNumberFormat="1">
      <alignment horizontal="center"/>
    </xf>
    <xf borderId="26" fillId="2" fontId="11" numFmtId="0" xfId="0" applyAlignment="1" applyBorder="1" applyFont="1">
      <alignment horizontal="left" shrinkToFit="0" wrapText="1"/>
    </xf>
    <xf borderId="63" fillId="2" fontId="11" numFmtId="165" xfId="0" applyAlignment="1" applyBorder="1" applyFont="1" applyNumberFormat="1">
      <alignment horizontal="center"/>
    </xf>
    <xf borderId="64" fillId="0" fontId="10" numFmtId="0" xfId="0" applyAlignment="1" applyBorder="1" applyFont="1">
      <alignment horizontal="right"/>
    </xf>
    <xf borderId="65" fillId="0" fontId="3" numFmtId="0" xfId="0" applyBorder="1" applyFont="1"/>
    <xf borderId="66" fillId="0" fontId="3" numFmtId="0" xfId="0" applyBorder="1" applyFont="1"/>
    <xf borderId="67" fillId="0" fontId="10" numFmtId="168" xfId="0" applyAlignment="1" applyBorder="1" applyFont="1" applyNumberFormat="1">
      <alignment horizontal="center" vertical="center"/>
    </xf>
    <xf borderId="1" fillId="2" fontId="11" numFmtId="4" xfId="0" applyAlignment="1" applyBorder="1" applyFont="1" applyNumberFormat="1">
      <alignment horizontal="center"/>
    </xf>
    <xf borderId="1" fillId="2" fontId="11" numFmtId="169" xfId="0" applyAlignment="1" applyBorder="1" applyFont="1" applyNumberFormat="1">
      <alignment horizontal="right"/>
    </xf>
    <xf borderId="1" fillId="2" fontId="13" numFmtId="169" xfId="0" applyAlignment="1" applyBorder="1" applyFont="1" applyNumberFormat="1">
      <alignment horizontal="right"/>
    </xf>
    <xf borderId="2" fillId="2" fontId="7" numFmtId="0" xfId="0" applyAlignment="1" applyBorder="1" applyFont="1">
      <alignment horizontal="right"/>
    </xf>
    <xf borderId="1" fillId="2" fontId="10" numFmtId="170" xfId="0" applyAlignment="1" applyBorder="1" applyFont="1" applyNumberFormat="1">
      <alignment horizontal="left" vertical="center"/>
    </xf>
    <xf borderId="1" fillId="2" fontId="7" numFmtId="0" xfId="0" applyAlignment="1" applyBorder="1" applyFont="1">
      <alignment horizontal="right" vertical="center"/>
    </xf>
    <xf borderId="68" fillId="4" fontId="11" numFmtId="171" xfId="0" applyAlignment="1" applyBorder="1" applyFill="1" applyFont="1" applyNumberFormat="1">
      <alignment horizontal="right"/>
    </xf>
    <xf borderId="1" fillId="2" fontId="10" numFmtId="0" xfId="0" applyBorder="1" applyFont="1"/>
    <xf borderId="1" fillId="2" fontId="10" numFmtId="0" xfId="0" applyAlignment="1" applyBorder="1" applyFont="1">
      <alignment shrinkToFit="0" wrapText="1"/>
    </xf>
    <xf borderId="1" fillId="2" fontId="11" numFmtId="169" xfId="0" applyBorder="1" applyFont="1" applyNumberFormat="1"/>
    <xf borderId="1" fillId="2" fontId="10" numFmtId="3" xfId="0" applyAlignment="1" applyBorder="1" applyFont="1" applyNumberFormat="1">
      <alignment horizontal="center" vertical="center"/>
    </xf>
    <xf borderId="0" fillId="0" fontId="10" numFmtId="172" xfId="0" applyAlignment="1" applyFont="1" applyNumberFormat="1">
      <alignment horizontal="left"/>
    </xf>
    <xf borderId="2" fillId="2" fontId="10" numFmtId="0" xfId="0" applyAlignment="1" applyBorder="1" applyFont="1">
      <alignment horizontal="center" shrinkToFit="0" wrapText="1"/>
    </xf>
    <xf borderId="1" fillId="2" fontId="14" numFmtId="0" xfId="0" applyBorder="1" applyFont="1"/>
    <xf borderId="1" fillId="2" fontId="14" numFmtId="172" xfId="0" applyAlignment="1" applyBorder="1" applyFont="1" applyNumberFormat="1">
      <alignment horizontal="center"/>
    </xf>
    <xf borderId="1" fillId="2" fontId="15" numFmtId="0" xfId="0" applyBorder="1" applyFont="1"/>
    <xf borderId="1" fillId="2" fontId="14" numFmtId="169" xfId="0" applyBorder="1" applyFont="1" applyNumberFormat="1"/>
    <xf borderId="69" fillId="2" fontId="7" numFmtId="0" xfId="0" applyAlignment="1" applyBorder="1" applyFont="1">
      <alignment horizontal="center" vertical="center"/>
    </xf>
    <xf borderId="70" fillId="0" fontId="3" numFmtId="0" xfId="0" applyBorder="1" applyFont="1"/>
    <xf borderId="71" fillId="0" fontId="3" numFmtId="0" xfId="0" applyBorder="1" applyFont="1"/>
    <xf borderId="2" fillId="2" fontId="7" numFmtId="0" xfId="0" applyAlignment="1" applyBorder="1" applyFont="1">
      <alignment horizontal="right" vertical="center"/>
    </xf>
    <xf borderId="1" fillId="2" fontId="14" numFmtId="0" xfId="0" applyAlignment="1" applyBorder="1" applyFont="1">
      <alignment horizontal="left"/>
    </xf>
    <xf borderId="1" fillId="2" fontId="16" numFmtId="0" xfId="0" applyAlignment="1" applyBorder="1" applyFont="1">
      <alignment horizontal="left"/>
    </xf>
    <xf borderId="1" fillId="2" fontId="15" numFmtId="0" xfId="0" applyAlignment="1" applyBorder="1" applyFont="1">
      <alignment horizontal="left"/>
    </xf>
    <xf borderId="1" fillId="2" fontId="14" numFmtId="169" xfId="0" applyAlignment="1" applyBorder="1" applyFont="1" applyNumberFormat="1">
      <alignment horizontal="left"/>
    </xf>
    <xf borderId="1" fillId="2" fontId="17" numFmtId="0" xfId="0" applyAlignment="1" applyBorder="1" applyFont="1">
      <alignment horizontal="center"/>
    </xf>
    <xf borderId="1" fillId="2" fontId="17" numFmtId="0" xfId="0" applyBorder="1" applyFont="1"/>
    <xf borderId="1" fillId="2" fontId="14" numFmtId="0" xfId="0" applyAlignment="1" applyBorder="1" applyFont="1">
      <alignment horizontal="center"/>
    </xf>
    <xf borderId="1" fillId="2" fontId="14" numFmtId="4" xfId="0" applyBorder="1" applyFont="1" applyNumberFormat="1"/>
    <xf borderId="1" fillId="2" fontId="18" numFmtId="0" xfId="0" applyBorder="1" applyFont="1"/>
  </cellXfs>
  <cellStyles count="1">
    <cellStyle xfId="0" name="Normal" builtinId="0"/>
  </cellStyles>
  <dxfs count="1">
    <dxf>
      <font/>
      <numFmt numFmtId="0" formatCode="[$USD]\ #,##0.00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200025</xdr:colOff>
      <xdr:row>43</xdr:row>
      <xdr:rowOff>200025</xdr:rowOff>
    </xdr:from>
    <xdr:ext cx="2019300" cy="895350"/>
    <xdr:sp>
      <xdr:nvSpPr>
        <xdr:cNvPr id="3" name="Shape 3"/>
        <xdr:cNvSpPr/>
      </xdr:nvSpPr>
      <xdr:spPr>
        <a:xfrm>
          <a:off x="4345875" y="3341850"/>
          <a:ext cx="2000250" cy="876300"/>
        </a:xfrm>
        <a:prstGeom prst="rect">
          <a:avLst/>
        </a:prstGeom>
        <a:solidFill>
          <a:schemeClr val="lt1"/>
        </a:solidFill>
        <a:ln cap="flat" cmpd="sng" w="25400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 cap="none">
              <a:solidFill>
                <a:srgbClr val="E5B8B7"/>
              </a:solidFill>
              <a:latin typeface="Candara"/>
              <a:ea typeface="Candara"/>
              <a:cs typeface="Candara"/>
              <a:sym typeface="Candara"/>
            </a:rPr>
            <a:t>GUARDAR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0</xdr:row>
      <xdr:rowOff>85725</xdr:rowOff>
    </xdr:from>
    <xdr:ext cx="2847975" cy="781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9.5"/>
    <col customWidth="1" min="3" max="4" width="14.13"/>
    <col customWidth="1" min="5" max="5" width="24.13"/>
    <col customWidth="1" min="6" max="6" width="11.88"/>
    <col customWidth="1" min="7" max="7" width="15.5"/>
    <col customWidth="1" min="8" max="8" width="22.88"/>
    <col customWidth="1" min="9" max="10" width="14.88"/>
    <col customWidth="1" min="11" max="12" width="11.5"/>
    <col customWidth="1" min="13" max="13" width="17.13"/>
    <col customWidth="1" min="14" max="18" width="11.5"/>
    <col customWidth="1" min="19" max="19" width="17.88"/>
    <col customWidth="1" min="20" max="26" width="11.5"/>
  </cols>
  <sheetData>
    <row r="1" ht="19.5" customHeight="1">
      <c r="A1" s="1"/>
      <c r="B1" s="2"/>
      <c r="C1" s="3"/>
      <c r="D1" s="3"/>
      <c r="E1" s="3"/>
      <c r="F1" s="3"/>
      <c r="G1" s="3"/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5"/>
      <c r="C2" s="5"/>
      <c r="D2" s="5"/>
      <c r="E2" s="5"/>
      <c r="F2" s="5"/>
      <c r="G2" s="5"/>
      <c r="H2" s="6" t="s">
        <v>0</v>
      </c>
      <c r="I2" s="5"/>
      <c r="J2" s="5"/>
      <c r="K2" s="7" t="s">
        <v>1</v>
      </c>
      <c r="L2" s="8"/>
      <c r="M2" s="8"/>
      <c r="N2" s="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"/>
      <c r="C3" s="5"/>
      <c r="D3" s="5"/>
      <c r="E3" s="5"/>
      <c r="F3" s="5"/>
      <c r="G3" s="5"/>
      <c r="H3" s="10" t="s">
        <v>2</v>
      </c>
      <c r="I3" s="5"/>
      <c r="J3" s="5"/>
      <c r="K3" s="7" t="s">
        <v>3</v>
      </c>
      <c r="L3" s="8"/>
      <c r="M3" s="8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1"/>
      <c r="C4" s="11"/>
      <c r="D4" s="11"/>
      <c r="E4" s="11"/>
      <c r="F4" s="11"/>
      <c r="G4" s="11"/>
      <c r="H4" s="11"/>
      <c r="I4" s="1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1"/>
      <c r="B5" s="12" t="s">
        <v>4</v>
      </c>
      <c r="C5" s="13"/>
      <c r="D5" s="14"/>
      <c r="E5" s="14"/>
      <c r="F5" s="15" t="s">
        <v>5</v>
      </c>
      <c r="G5" s="16"/>
      <c r="H5" s="13"/>
      <c r="I5" s="14"/>
      <c r="J5" s="17"/>
      <c r="K5" s="1"/>
      <c r="L5" s="1"/>
      <c r="M5" s="1"/>
      <c r="N5" s="1"/>
      <c r="O5" s="1"/>
      <c r="P5" s="1"/>
      <c r="Q5" s="1"/>
      <c r="R5" s="1"/>
      <c r="S5" s="1" t="s">
        <v>6</v>
      </c>
      <c r="T5" s="1" t="str">
        <f>+PRESUPUESTO!F56</f>
        <v>#REF!</v>
      </c>
      <c r="U5" s="1"/>
      <c r="V5" s="1"/>
      <c r="W5" s="1"/>
      <c r="X5" s="1"/>
      <c r="Y5" s="1"/>
      <c r="Z5" s="1"/>
    </row>
    <row r="6" ht="19.5" customHeight="1">
      <c r="A6" s="11"/>
      <c r="B6" s="18"/>
      <c r="C6" s="19"/>
      <c r="D6" s="20" t="str">
        <f>+PRESUPUESTO!F6</f>
        <v>#REF!</v>
      </c>
      <c r="E6" s="21"/>
      <c r="F6" s="22"/>
      <c r="H6" s="19"/>
      <c r="I6" s="23" t="str">
        <f>PRESUPUESTO!F9</f>
        <v>#REF!</v>
      </c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1"/>
      <c r="B7" s="25"/>
      <c r="C7" s="26"/>
      <c r="D7" s="27"/>
      <c r="E7" s="27"/>
      <c r="F7" s="28"/>
      <c r="G7" s="29"/>
      <c r="H7" s="26"/>
      <c r="I7" s="27" t="str">
        <f>"Rev.: "&amp;IF(ISERROR(SEARCH("-",I6,8)),"Oferta inicial",RIGHT(I6,1))</f>
        <v>Rev.: Oferta inicial</v>
      </c>
      <c r="J7" s="3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1"/>
      <c r="B8" s="31"/>
      <c r="C8" s="32"/>
      <c r="D8" s="32"/>
      <c r="E8" s="32"/>
      <c r="F8" s="32"/>
      <c r="G8" s="32"/>
      <c r="H8" s="33"/>
      <c r="I8" s="34"/>
      <c r="J8" s="3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1"/>
      <c r="B9" s="36" t="s">
        <v>7</v>
      </c>
      <c r="C9" s="4"/>
      <c r="D9" s="37" t="str">
        <f>+PRESUPUESTO!F7</f>
        <v>#REF!</v>
      </c>
      <c r="E9" s="38"/>
      <c r="F9" s="38"/>
      <c r="G9" s="38"/>
      <c r="H9" s="39"/>
      <c r="I9" s="40" t="s">
        <v>8</v>
      </c>
      <c r="J9" s="4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1"/>
      <c r="B10" s="42" t="s">
        <v>9</v>
      </c>
      <c r="D10" s="43" t="str">
        <f>PRESUPUESTO!F8</f>
        <v>#REF!</v>
      </c>
      <c r="E10" s="37"/>
      <c r="F10" s="44"/>
      <c r="G10" s="44"/>
      <c r="H10" s="45"/>
      <c r="I10" s="46"/>
      <c r="J10" s="4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1"/>
      <c r="B11" s="48"/>
      <c r="C11" s="49"/>
      <c r="D11" s="37"/>
      <c r="E11" s="49"/>
      <c r="F11" s="49"/>
      <c r="G11" s="49"/>
      <c r="H11" s="50"/>
      <c r="I11" s="40" t="s">
        <v>10</v>
      </c>
      <c r="J11" s="4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1"/>
      <c r="B12" s="51" t="s">
        <v>11</v>
      </c>
      <c r="C12" s="52"/>
      <c r="D12" s="53" t="str">
        <f>PRESUPUESTO!C11</f>
        <v>#REF!</v>
      </c>
      <c r="E12" s="54"/>
      <c r="F12" s="54"/>
      <c r="G12" s="54"/>
      <c r="H12" s="55"/>
      <c r="I12" s="40"/>
      <c r="J12" s="4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1"/>
      <c r="B13" s="56"/>
      <c r="C13" s="57"/>
      <c r="D13" s="58"/>
      <c r="E13" s="59"/>
      <c r="F13" s="59"/>
      <c r="G13" s="59"/>
      <c r="H13" s="60"/>
      <c r="I13" s="61"/>
      <c r="J13" s="6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1"/>
      <c r="B14" s="63" t="s">
        <v>12</v>
      </c>
      <c r="C14" s="64" t="s">
        <v>13</v>
      </c>
      <c r="D14" s="65" t="s">
        <v>14</v>
      </c>
      <c r="E14" s="66"/>
      <c r="F14" s="66"/>
      <c r="G14" s="66"/>
      <c r="H14" s="67"/>
      <c r="I14" s="68" t="s">
        <v>15</v>
      </c>
      <c r="J14" s="69" t="s">
        <v>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1"/>
      <c r="B15" s="70"/>
      <c r="C15" s="71"/>
      <c r="D15" s="72"/>
      <c r="E15" s="73"/>
      <c r="F15" s="73"/>
      <c r="G15" s="73"/>
      <c r="H15" s="74"/>
      <c r="I15" s="75" t="s">
        <v>16</v>
      </c>
      <c r="J15" s="76" t="s">
        <v>17</v>
      </c>
      <c r="K15" s="1"/>
      <c r="L15" s="1"/>
      <c r="M15" s="1"/>
      <c r="N15" s="77"/>
      <c r="O15" s="77"/>
      <c r="P15" s="7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1"/>
      <c r="B16" s="78"/>
      <c r="C16" s="79"/>
      <c r="D16" s="80"/>
      <c r="E16" s="3"/>
      <c r="F16" s="3"/>
      <c r="G16" s="3"/>
      <c r="H16" s="41"/>
      <c r="I16" s="81">
        <f t="shared" ref="I16:I31" si="1">IF(B16=0,0,LOOKUP(B16,PRESUPUESTO!$B$15:$B$24,PRESUPUESTO!$J$15:$J$24))</f>
        <v>0</v>
      </c>
      <c r="J16" s="82">
        <f t="shared" ref="J16:J41" si="2">I16*C16</f>
        <v>0</v>
      </c>
      <c r="K16" s="1"/>
      <c r="L16" s="1"/>
      <c r="M16" s="1"/>
      <c r="N16" s="77"/>
      <c r="O16" s="77"/>
      <c r="P16" s="77"/>
      <c r="Q16" s="1"/>
      <c r="R16" s="1"/>
      <c r="S16" s="1"/>
      <c r="T16" s="83"/>
      <c r="U16" s="1"/>
      <c r="V16" s="1"/>
      <c r="W16" s="1"/>
      <c r="X16" s="1"/>
      <c r="Y16" s="1"/>
      <c r="Z16" s="1"/>
    </row>
    <row r="17" ht="19.5" customHeight="1">
      <c r="A17" s="11"/>
      <c r="B17" s="78"/>
      <c r="C17" s="79"/>
      <c r="D17" s="80"/>
      <c r="E17" s="3"/>
      <c r="F17" s="3"/>
      <c r="G17" s="3"/>
      <c r="H17" s="41"/>
      <c r="I17" s="84">
        <f t="shared" si="1"/>
        <v>0</v>
      </c>
      <c r="J17" s="82">
        <f t="shared" si="2"/>
        <v>0</v>
      </c>
      <c r="K17" s="1"/>
      <c r="L17" s="1"/>
      <c r="M17" s="1"/>
      <c r="N17" s="77"/>
      <c r="O17" s="77"/>
      <c r="P17" s="77"/>
      <c r="Q17" s="1"/>
      <c r="R17" s="1"/>
      <c r="S17" s="1"/>
      <c r="T17" s="85"/>
      <c r="U17" s="1"/>
      <c r="V17" s="1"/>
      <c r="W17" s="1"/>
      <c r="X17" s="1"/>
      <c r="Y17" s="1"/>
      <c r="Z17" s="1"/>
    </row>
    <row r="18" ht="19.5" customHeight="1">
      <c r="A18" s="11"/>
      <c r="B18" s="86"/>
      <c r="C18" s="87"/>
      <c r="D18" s="80"/>
      <c r="E18" s="3"/>
      <c r="F18" s="3"/>
      <c r="G18" s="3"/>
      <c r="H18" s="41"/>
      <c r="I18" s="84">
        <f t="shared" si="1"/>
        <v>0</v>
      </c>
      <c r="J18" s="82">
        <f t="shared" si="2"/>
        <v>0</v>
      </c>
      <c r="K18" s="1"/>
      <c r="L18" s="1"/>
      <c r="M18" s="1"/>
      <c r="N18" s="77"/>
      <c r="O18" s="77"/>
      <c r="P18" s="77"/>
      <c r="Q18" s="1"/>
      <c r="R18" s="1"/>
      <c r="S18" s="1"/>
      <c r="T18" s="85"/>
      <c r="U18" s="1"/>
      <c r="V18" s="1"/>
      <c r="W18" s="1"/>
      <c r="X18" s="1"/>
      <c r="Y18" s="1"/>
      <c r="Z18" s="1"/>
    </row>
    <row r="19" ht="19.5" customHeight="1">
      <c r="A19" s="11"/>
      <c r="B19" s="86"/>
      <c r="C19" s="87"/>
      <c r="D19" s="80"/>
      <c r="E19" s="3"/>
      <c r="F19" s="3"/>
      <c r="G19" s="3"/>
      <c r="H19" s="41"/>
      <c r="I19" s="84">
        <f t="shared" si="1"/>
        <v>0</v>
      </c>
      <c r="J19" s="82">
        <f t="shared" si="2"/>
        <v>0</v>
      </c>
      <c r="K19" s="1"/>
      <c r="L19" s="1"/>
      <c r="M19" s="1"/>
      <c r="N19" s="77"/>
      <c r="O19" s="77"/>
      <c r="P19" s="77"/>
      <c r="Q19" s="1"/>
      <c r="R19" s="1"/>
      <c r="S19" s="1"/>
      <c r="T19" s="85"/>
      <c r="U19" s="1"/>
      <c r="V19" s="1"/>
      <c r="W19" s="1"/>
      <c r="X19" s="1"/>
      <c r="Y19" s="1"/>
      <c r="Z19" s="1"/>
    </row>
    <row r="20" ht="19.5" customHeight="1">
      <c r="A20" s="11"/>
      <c r="B20" s="86"/>
      <c r="C20" s="87"/>
      <c r="D20" s="80"/>
      <c r="E20" s="3"/>
      <c r="F20" s="3"/>
      <c r="G20" s="3"/>
      <c r="H20" s="41"/>
      <c r="I20" s="81">
        <f t="shared" si="1"/>
        <v>0</v>
      </c>
      <c r="J20" s="82">
        <f t="shared" si="2"/>
        <v>0</v>
      </c>
      <c r="K20" s="1"/>
      <c r="L20" s="1"/>
      <c r="M20" s="1"/>
      <c r="N20" s="77"/>
      <c r="O20" s="77"/>
      <c r="P20" s="77"/>
      <c r="Q20" s="1"/>
      <c r="R20" s="1"/>
      <c r="S20" s="1"/>
      <c r="T20" s="85"/>
      <c r="U20" s="1"/>
      <c r="V20" s="1"/>
      <c r="W20" s="1"/>
      <c r="X20" s="1"/>
      <c r="Y20" s="1"/>
      <c r="Z20" s="1"/>
    </row>
    <row r="21" ht="19.5" customHeight="1">
      <c r="A21" s="11"/>
      <c r="B21" s="86"/>
      <c r="C21" s="87"/>
      <c r="D21" s="80"/>
      <c r="E21" s="3"/>
      <c r="F21" s="3"/>
      <c r="G21" s="3"/>
      <c r="H21" s="41"/>
      <c r="I21" s="81">
        <f t="shared" si="1"/>
        <v>0</v>
      </c>
      <c r="J21" s="82">
        <f t="shared" si="2"/>
        <v>0</v>
      </c>
      <c r="K21" s="1"/>
      <c r="L21" s="1"/>
      <c r="M21" s="1"/>
      <c r="N21" s="77"/>
      <c r="O21" s="77"/>
      <c r="P21" s="77"/>
      <c r="Q21" s="1"/>
      <c r="R21" s="1"/>
      <c r="S21" s="1"/>
      <c r="T21" s="85"/>
      <c r="U21" s="1"/>
      <c r="V21" s="1"/>
      <c r="W21" s="1"/>
      <c r="X21" s="1"/>
      <c r="Y21" s="1"/>
      <c r="Z21" s="1"/>
    </row>
    <row r="22" ht="19.5" customHeight="1">
      <c r="A22" s="11"/>
      <c r="B22" s="78"/>
      <c r="C22" s="79"/>
      <c r="D22" s="80"/>
      <c r="E22" s="3"/>
      <c r="F22" s="3"/>
      <c r="G22" s="3"/>
      <c r="H22" s="41"/>
      <c r="I22" s="84">
        <f t="shared" si="1"/>
        <v>0</v>
      </c>
      <c r="J22" s="82">
        <f t="shared" si="2"/>
        <v>0</v>
      </c>
      <c r="K22" s="1"/>
      <c r="L22" s="1"/>
      <c r="M22" s="1"/>
      <c r="N22" s="77"/>
      <c r="O22" s="77"/>
      <c r="P22" s="7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1"/>
      <c r="B23" s="86"/>
      <c r="C23" s="87"/>
      <c r="D23" s="80"/>
      <c r="E23" s="3"/>
      <c r="F23" s="3"/>
      <c r="G23" s="3"/>
      <c r="H23" s="41"/>
      <c r="I23" s="84">
        <f t="shared" si="1"/>
        <v>0</v>
      </c>
      <c r="J23" s="82">
        <f t="shared" si="2"/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1"/>
      <c r="B24" s="86"/>
      <c r="C24" s="87"/>
      <c r="D24" s="80"/>
      <c r="E24" s="3"/>
      <c r="F24" s="3"/>
      <c r="G24" s="3"/>
      <c r="H24" s="41"/>
      <c r="I24" s="84">
        <f t="shared" si="1"/>
        <v>0</v>
      </c>
      <c r="J24" s="82">
        <f t="shared" si="2"/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1"/>
      <c r="B25" s="86"/>
      <c r="C25" s="87"/>
      <c r="D25" s="80"/>
      <c r="E25" s="3"/>
      <c r="F25" s="3"/>
      <c r="G25" s="3"/>
      <c r="H25" s="41"/>
      <c r="I25" s="81">
        <f t="shared" si="1"/>
        <v>0</v>
      </c>
      <c r="J25" s="82">
        <f t="shared" si="2"/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1"/>
      <c r="B26" s="86"/>
      <c r="C26" s="87"/>
      <c r="D26" s="80"/>
      <c r="E26" s="3"/>
      <c r="F26" s="3"/>
      <c r="G26" s="3"/>
      <c r="H26" s="41"/>
      <c r="I26" s="81">
        <f t="shared" si="1"/>
        <v>0</v>
      </c>
      <c r="J26" s="82">
        <f t="shared" si="2"/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1"/>
      <c r="B27" s="86"/>
      <c r="C27" s="87"/>
      <c r="D27" s="80"/>
      <c r="E27" s="3"/>
      <c r="F27" s="3"/>
      <c r="G27" s="3"/>
      <c r="H27" s="41"/>
      <c r="I27" s="84">
        <f t="shared" si="1"/>
        <v>0</v>
      </c>
      <c r="J27" s="82">
        <f t="shared" si="2"/>
        <v>0</v>
      </c>
      <c r="K27" s="1"/>
      <c r="L27" s="1"/>
      <c r="M27" s="1"/>
      <c r="N27" s="1"/>
      <c r="O27" s="1"/>
      <c r="P27" s="8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1"/>
      <c r="B28" s="78"/>
      <c r="C28" s="79"/>
      <c r="D28" s="80"/>
      <c r="E28" s="3"/>
      <c r="F28" s="3"/>
      <c r="G28" s="3"/>
      <c r="H28" s="41"/>
      <c r="I28" s="84">
        <f t="shared" si="1"/>
        <v>0</v>
      </c>
      <c r="J28" s="82">
        <f t="shared" si="2"/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1"/>
      <c r="B29" s="86"/>
      <c r="C29" s="87"/>
      <c r="D29" s="80"/>
      <c r="E29" s="3"/>
      <c r="F29" s="3"/>
      <c r="G29" s="3"/>
      <c r="H29" s="41"/>
      <c r="I29" s="84">
        <f t="shared" si="1"/>
        <v>0</v>
      </c>
      <c r="J29" s="82">
        <f t="shared" si="2"/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1"/>
      <c r="B30" s="86"/>
      <c r="C30" s="87"/>
      <c r="D30" s="80"/>
      <c r="E30" s="3"/>
      <c r="F30" s="3"/>
      <c r="G30" s="3"/>
      <c r="H30" s="41"/>
      <c r="I30" s="84">
        <f t="shared" si="1"/>
        <v>0</v>
      </c>
      <c r="J30" s="82">
        <f t="shared" si="2"/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1"/>
      <c r="B31" s="89"/>
      <c r="C31" s="90"/>
      <c r="D31" s="80"/>
      <c r="E31" s="3"/>
      <c r="F31" s="3"/>
      <c r="G31" s="3"/>
      <c r="H31" s="41"/>
      <c r="I31" s="84">
        <f t="shared" si="1"/>
        <v>0</v>
      </c>
      <c r="J31" s="82">
        <f t="shared" si="2"/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1"/>
      <c r="B32" s="86"/>
      <c r="C32" s="87"/>
      <c r="D32" s="80"/>
      <c r="E32" s="3"/>
      <c r="F32" s="3"/>
      <c r="G32" s="3"/>
      <c r="H32" s="41"/>
      <c r="I32" s="84"/>
      <c r="J32" s="82">
        <f t="shared" si="2"/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1"/>
      <c r="B33" s="86"/>
      <c r="C33" s="87"/>
      <c r="D33" s="80"/>
      <c r="E33" s="3"/>
      <c r="F33" s="3"/>
      <c r="G33" s="3"/>
      <c r="H33" s="41"/>
      <c r="I33" s="84">
        <f t="shared" ref="I33:I41" si="3">IF(B33=0,0,LOOKUP(B33,PRESUPUESTO!$B$15:$B$24,PRESUPUESTO!$J$15:$J$24))</f>
        <v>0</v>
      </c>
      <c r="J33" s="82">
        <f t="shared" si="2"/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1"/>
      <c r="B34" s="89"/>
      <c r="C34" s="90"/>
      <c r="D34" s="80"/>
      <c r="E34" s="3"/>
      <c r="F34" s="3"/>
      <c r="G34" s="3"/>
      <c r="H34" s="41"/>
      <c r="I34" s="84">
        <f t="shared" si="3"/>
        <v>0</v>
      </c>
      <c r="J34" s="82">
        <f t="shared" si="2"/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1"/>
      <c r="B35" s="89"/>
      <c r="C35" s="90"/>
      <c r="D35" s="80"/>
      <c r="E35" s="3"/>
      <c r="F35" s="3"/>
      <c r="G35" s="3"/>
      <c r="H35" s="41"/>
      <c r="I35" s="84">
        <f t="shared" si="3"/>
        <v>0</v>
      </c>
      <c r="J35" s="82">
        <f t="shared" si="2"/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1"/>
      <c r="B36" s="91"/>
      <c r="C36" s="92"/>
      <c r="D36" s="80"/>
      <c r="E36" s="3"/>
      <c r="F36" s="3"/>
      <c r="G36" s="3"/>
      <c r="H36" s="41"/>
      <c r="I36" s="84">
        <f t="shared" si="3"/>
        <v>0</v>
      </c>
      <c r="J36" s="82">
        <f t="shared" si="2"/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1"/>
      <c r="B37" s="91"/>
      <c r="C37" s="92"/>
      <c r="D37" s="80"/>
      <c r="E37" s="3"/>
      <c r="F37" s="3"/>
      <c r="G37" s="3"/>
      <c r="H37" s="41"/>
      <c r="I37" s="84">
        <f t="shared" si="3"/>
        <v>0</v>
      </c>
      <c r="J37" s="82">
        <f t="shared" si="2"/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1"/>
      <c r="B38" s="91"/>
      <c r="C38" s="92"/>
      <c r="D38" s="80"/>
      <c r="E38" s="3"/>
      <c r="F38" s="3"/>
      <c r="G38" s="3"/>
      <c r="H38" s="41"/>
      <c r="I38" s="84">
        <f t="shared" si="3"/>
        <v>0</v>
      </c>
      <c r="J38" s="82">
        <f t="shared" si="2"/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1"/>
      <c r="B39" s="91"/>
      <c r="C39" s="92"/>
      <c r="D39" s="80"/>
      <c r="E39" s="3"/>
      <c r="F39" s="3"/>
      <c r="G39" s="3"/>
      <c r="H39" s="41"/>
      <c r="I39" s="84">
        <f t="shared" si="3"/>
        <v>0</v>
      </c>
      <c r="J39" s="82">
        <f t="shared" si="2"/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1"/>
      <c r="B40" s="91"/>
      <c r="C40" s="92"/>
      <c r="D40" s="80"/>
      <c r="E40" s="3"/>
      <c r="F40" s="3"/>
      <c r="G40" s="3"/>
      <c r="H40" s="41"/>
      <c r="I40" s="84">
        <f t="shared" si="3"/>
        <v>0</v>
      </c>
      <c r="J40" s="82">
        <f t="shared" si="2"/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1"/>
      <c r="B41" s="91"/>
      <c r="C41" s="92"/>
      <c r="D41" s="80"/>
      <c r="E41" s="3"/>
      <c r="F41" s="3"/>
      <c r="G41" s="3"/>
      <c r="H41" s="41"/>
      <c r="I41" s="84">
        <f t="shared" si="3"/>
        <v>0</v>
      </c>
      <c r="J41" s="82">
        <f t="shared" si="2"/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1"/>
      <c r="B42" s="91"/>
      <c r="C42" s="92"/>
      <c r="D42" s="80"/>
      <c r="E42" s="3"/>
      <c r="F42" s="3"/>
      <c r="G42" s="3"/>
      <c r="H42" s="41"/>
      <c r="I42" s="93"/>
      <c r="J42" s="82">
        <f>SUM(J16:J41)</f>
        <v>0</v>
      </c>
      <c r="K42" s="94" t="s">
        <v>18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1"/>
      <c r="B43" s="89"/>
      <c r="C43" s="95"/>
      <c r="D43" s="80"/>
      <c r="E43" s="3"/>
      <c r="F43" s="3"/>
      <c r="G43" s="3"/>
      <c r="H43" s="41"/>
      <c r="I43" s="93"/>
      <c r="J43" s="8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1"/>
      <c r="B44" s="89"/>
      <c r="C44" s="95"/>
      <c r="D44" s="96"/>
      <c r="E44" s="3"/>
      <c r="F44" s="3"/>
      <c r="G44" s="3"/>
      <c r="H44" s="41"/>
      <c r="I44" s="93"/>
      <c r="J44" s="8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1"/>
      <c r="B45" s="89"/>
      <c r="C45" s="95"/>
      <c r="D45" s="96"/>
      <c r="E45" s="3"/>
      <c r="F45" s="3"/>
      <c r="G45" s="3"/>
      <c r="H45" s="41"/>
      <c r="I45" s="93"/>
      <c r="J45" s="8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1"/>
      <c r="B46" s="97"/>
      <c r="C46" s="95"/>
      <c r="D46" s="98"/>
      <c r="E46" s="3"/>
      <c r="F46" s="3"/>
      <c r="G46" s="3"/>
      <c r="H46" s="41"/>
      <c r="I46" s="99"/>
      <c r="J46" s="8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1"/>
      <c r="B47" s="100" t="s">
        <v>19</v>
      </c>
      <c r="C47" s="101"/>
      <c r="D47" s="101"/>
      <c r="E47" s="101"/>
      <c r="F47" s="101"/>
      <c r="G47" s="101"/>
      <c r="H47" s="101"/>
      <c r="I47" s="102"/>
      <c r="J47" s="103">
        <f>J42-J44</f>
        <v>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1"/>
      <c r="B48" s="44"/>
      <c r="C48" s="44"/>
      <c r="D48" s="104"/>
      <c r="E48" s="44"/>
      <c r="F48" s="44"/>
      <c r="G48" s="44"/>
      <c r="H48" s="44"/>
      <c r="I48" s="105"/>
      <c r="J48" s="10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1"/>
      <c r="B49" s="44"/>
      <c r="C49" s="44"/>
      <c r="D49" s="104"/>
      <c r="E49" s="44"/>
      <c r="F49" s="44"/>
      <c r="G49" s="44"/>
      <c r="H49" s="44"/>
      <c r="I49" s="105"/>
      <c r="J49" s="10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1"/>
      <c r="B50" s="107" t="s">
        <v>20</v>
      </c>
      <c r="C50" s="4"/>
      <c r="D50" s="108" t="str">
        <f t="shared" ref="D50:D51" si="4">+PRESUPUESTO!H6</f>
        <v>#REF!</v>
      </c>
      <c r="E50" s="1"/>
      <c r="F50" s="1"/>
      <c r="G50" s="1"/>
      <c r="H50" s="1"/>
      <c r="I50" s="109" t="s">
        <v>21</v>
      </c>
      <c r="J50" s="110" t="str">
        <f>PRESUPUESTO!H11</f>
        <v>#REF!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1"/>
      <c r="B51" s="107" t="s">
        <v>22</v>
      </c>
      <c r="C51" s="4"/>
      <c r="D51" s="108" t="str">
        <f t="shared" si="4"/>
        <v>#REF!</v>
      </c>
      <c r="E51" s="1"/>
      <c r="F51" s="21"/>
      <c r="G51" s="21"/>
      <c r="H51" s="1"/>
      <c r="I51" s="109" t="s">
        <v>23</v>
      </c>
      <c r="J51" s="110" t="str">
        <f>+PRESUPUESTO!F11</f>
        <v>#REF!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1"/>
      <c r="B52" s="107" t="s">
        <v>24</v>
      </c>
      <c r="C52" s="4"/>
      <c r="D52" s="108" t="str">
        <f>+PRESUPUESTO!H10</f>
        <v>#REF!</v>
      </c>
      <c r="E52" s="1"/>
      <c r="F52" s="111"/>
      <c r="G52" s="112"/>
      <c r="H52" s="112"/>
      <c r="I52" s="113"/>
      <c r="J52" s="11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1"/>
      <c r="B53" s="107" t="s">
        <v>25</v>
      </c>
      <c r="C53" s="4"/>
      <c r="D53" s="114" t="str">
        <f t="shared" ref="D53:D54" si="5">+PRESUPUESTO!H8</f>
        <v>#REF!</v>
      </c>
      <c r="E53" s="115" t="s">
        <v>26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1"/>
      <c r="B54" s="107" t="s">
        <v>27</v>
      </c>
      <c r="C54" s="4"/>
      <c r="D54" s="114" t="str">
        <f t="shared" si="5"/>
        <v>#REF!</v>
      </c>
      <c r="E54" s="111" t="s">
        <v>26</v>
      </c>
      <c r="F54" s="116" t="s">
        <v>28</v>
      </c>
      <c r="G54" s="3"/>
      <c r="H54" s="3"/>
      <c r="I54" s="3"/>
      <c r="J54" s="4"/>
      <c r="K54" s="112"/>
      <c r="L54" s="11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1"/>
      <c r="B55" s="117"/>
      <c r="C55" s="117"/>
      <c r="D55" s="118"/>
      <c r="E55" s="117"/>
      <c r="F55" s="119"/>
      <c r="G55" s="119"/>
      <c r="H55" s="119"/>
      <c r="I55" s="120"/>
      <c r="J55" s="12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6.75" customHeight="1">
      <c r="A56" s="11"/>
      <c r="B56" s="121" t="s">
        <v>29</v>
      </c>
      <c r="C56" s="122"/>
      <c r="D56" s="122"/>
      <c r="E56" s="122"/>
      <c r="F56" s="122"/>
      <c r="G56" s="122"/>
      <c r="H56" s="122"/>
      <c r="I56" s="122"/>
      <c r="J56" s="123"/>
      <c r="K56" s="2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1"/>
      <c r="B57" s="117"/>
      <c r="C57" s="117"/>
      <c r="D57" s="118"/>
      <c r="E57" s="117"/>
      <c r="F57" s="119"/>
      <c r="G57" s="119"/>
      <c r="H57" s="119"/>
      <c r="I57" s="120"/>
      <c r="J57" s="12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1"/>
      <c r="B58" s="1"/>
      <c r="C58" s="1"/>
      <c r="D58" s="1"/>
      <c r="E58" s="1"/>
      <c r="F58" s="124"/>
      <c r="G58" s="3"/>
      <c r="H58" s="4"/>
      <c r="I58" s="1"/>
      <c r="J58" s="12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1"/>
      <c r="B59" s="117"/>
      <c r="C59" s="117"/>
      <c r="D59" s="118"/>
      <c r="E59" s="117"/>
      <c r="F59" s="119"/>
      <c r="G59" s="119"/>
      <c r="H59" s="119"/>
      <c r="I59" s="120"/>
      <c r="J59" s="12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1"/>
      <c r="B60" s="117"/>
      <c r="C60" s="117"/>
      <c r="D60" s="118"/>
      <c r="E60" s="117"/>
      <c r="F60" s="119"/>
      <c r="G60" s="119"/>
      <c r="H60" s="119"/>
      <c r="I60" s="120"/>
      <c r="J60" s="12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1"/>
      <c r="B61" s="117"/>
      <c r="C61" s="117"/>
      <c r="D61" s="125"/>
      <c r="E61" s="126"/>
      <c r="F61" s="127"/>
      <c r="G61" s="127"/>
      <c r="H61" s="127"/>
      <c r="I61" s="128"/>
      <c r="J61" s="12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1"/>
      <c r="B62" s="117"/>
      <c r="C62" s="129"/>
      <c r="D62" s="130"/>
      <c r="E62" s="130"/>
      <c r="F62" s="130"/>
      <c r="G62" s="130"/>
      <c r="H62" s="130"/>
      <c r="I62" s="130"/>
      <c r="J62" s="12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1"/>
      <c r="B63" s="117"/>
      <c r="C63" s="117"/>
      <c r="D63" s="130"/>
      <c r="E63" s="130"/>
      <c r="F63" s="130"/>
      <c r="G63" s="130"/>
      <c r="H63" s="130"/>
      <c r="I63" s="130"/>
      <c r="J63" s="12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1"/>
      <c r="B64" s="117"/>
      <c r="C64" s="117"/>
      <c r="D64" s="129"/>
      <c r="E64" s="129"/>
      <c r="F64" s="129"/>
      <c r="G64" s="129"/>
      <c r="H64" s="129"/>
      <c r="I64" s="129"/>
      <c r="J64" s="12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1"/>
      <c r="B65" s="117"/>
      <c r="C65" s="117"/>
      <c r="D65" s="129"/>
      <c r="E65" s="129"/>
      <c r="F65" s="129"/>
      <c r="G65" s="129"/>
      <c r="H65" s="129"/>
      <c r="I65" s="129"/>
      <c r="J65" s="12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1"/>
      <c r="B66" s="117"/>
      <c r="C66" s="117"/>
      <c r="D66" s="129"/>
      <c r="E66" s="129"/>
      <c r="F66" s="129"/>
      <c r="G66" s="129"/>
      <c r="H66" s="129"/>
      <c r="I66" s="129"/>
      <c r="J66" s="12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1"/>
      <c r="B67" s="117"/>
      <c r="C67" s="117"/>
      <c r="D67" s="129"/>
      <c r="E67" s="129"/>
      <c r="F67" s="129"/>
      <c r="G67" s="129"/>
      <c r="H67" s="129"/>
      <c r="I67" s="129"/>
      <c r="J67" s="12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1"/>
      <c r="B68" s="117"/>
      <c r="C68" s="117"/>
      <c r="D68" s="131"/>
      <c r="E68" s="117"/>
      <c r="F68" s="119"/>
      <c r="G68" s="119"/>
      <c r="H68" s="119"/>
      <c r="I68" s="132"/>
      <c r="J68" s="1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3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3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3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3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3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3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3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3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3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3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3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3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3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3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3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3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3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3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3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3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3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3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3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3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3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3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3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3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3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6">
    <mergeCell ref="F54:J54"/>
    <mergeCell ref="B56:J56"/>
    <mergeCell ref="F58:H58"/>
    <mergeCell ref="D46:H46"/>
    <mergeCell ref="B47:I47"/>
    <mergeCell ref="B50:C50"/>
    <mergeCell ref="B51:C51"/>
    <mergeCell ref="B52:C52"/>
    <mergeCell ref="B53:C53"/>
    <mergeCell ref="B54:C54"/>
    <mergeCell ref="I9:J9"/>
    <mergeCell ref="I11:J11"/>
    <mergeCell ref="I12:J12"/>
    <mergeCell ref="I13:J13"/>
    <mergeCell ref="B1:J1"/>
    <mergeCell ref="K2:N2"/>
    <mergeCell ref="K3:N3"/>
    <mergeCell ref="B5:C7"/>
    <mergeCell ref="F5:H7"/>
    <mergeCell ref="B9:C9"/>
    <mergeCell ref="B10:C10"/>
    <mergeCell ref="B12:C13"/>
    <mergeCell ref="D12:H13"/>
    <mergeCell ref="B14:B15"/>
    <mergeCell ref="C14:C15"/>
    <mergeCell ref="D14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</mergeCells>
  <conditionalFormatting sqref="I16:J19 I25:J46 J47">
    <cfRule type="expression" dxfId="0" priority="1">
      <formula>$D$50="USD"</formula>
    </cfRule>
  </conditionalFormatting>
  <conditionalFormatting sqref="I20:J24">
    <cfRule type="expression" dxfId="0" priority="2">
      <formula>$D$50="USD"</formula>
    </cfRule>
  </conditionalFormatting>
  <dataValidations>
    <dataValidation type="decimal" allowBlank="1" showErrorMessage="1" sqref="B16 B22 B28">
      <formula1>1.0</formula1>
      <formula2>50.0</formula2>
    </dataValidation>
    <dataValidation type="date" allowBlank="1" showErrorMessage="1" sqref="D6">
      <formula1>36526.0</formula1>
      <formula2>73385.0</formula2>
    </dataValidation>
    <dataValidation type="decimal" operator="greaterThan" allowBlank="1" showErrorMessage="1" sqref="C16 C22 C28">
      <formula1>0.0</formula1>
    </dataValidation>
  </dataValidations>
  <printOptions horizontalCentered="1"/>
  <pageMargins bottom="0.3937007874015748" footer="0.0" header="0.0" left="0.5905511811023623" right="0.2755905511811024" top="0.4330708661417323"/>
  <pageSetup paperSize="9" orientation="portrait"/>
  <drawing r:id="rId1"/>
</worksheet>
</file>